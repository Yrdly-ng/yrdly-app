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Checklist" sheetId="2" r:id="rId5"/>
  </sheets>
  <definedNames>
    <definedName hidden="1" localSheetId="1" name="_xlnm._FilterDatabase">Checklist!$A$1:$I$196</definedName>
  </definedNames>
  <calcPr/>
  <extLst>
    <ext uri="GoogleSheetsCustomDataVersion2">
      <go:sheetsCustomData xmlns:go="http://customooxmlschemas.google.com/" r:id="rId6" roundtripDataChecksum="ZU+lbZBoGk+WmqikLnwS1K40/sNuRs09nNRKSMruM5w="/>
    </ext>
  </extLst>
</workbook>
</file>

<file path=xl/sharedStrings.xml><?xml version="1.0" encoding="utf-8"?>
<sst xmlns="http://schemas.openxmlformats.org/spreadsheetml/2006/main" count="1333" uniqueCount="656">
  <si>
    <t>Yrdly Web App - QA Checklist</t>
  </si>
  <si>
    <t>Go to the Checklist tab, set Status per row (dropdown), add your name, date and any bug link. This page updates itself.</t>
  </si>
  <si>
    <t>How to use</t>
  </si>
  <si>
    <t>Status: Not started / Pass / Fail / Blocked. Pass only if the expected result happened exactly. Anything else is Fail.</t>
  </si>
  <si>
    <t>Priority: P0 = money, auth, security (must pass). P1 = core features. P2 = polish.</t>
  </si>
  <si>
    <t>Every Fail needs a bug link or note. Every Pass needs a tester name and date.</t>
  </si>
  <si>
    <t>Money tests: always reconcile against the Payluk / Paystack dashboard and the bank, not just the app screen.</t>
  </si>
  <si>
    <t>Example row: ID MB-01 | Status Pass | Tester Ada | Date 2026-10-06 | Notes: Paid NGN 5,000, fee NGN 150 matched Payluk dashboard.</t>
  </si>
  <si>
    <t>Items marked '(if built)' that don't exist yet should be marked Fail and noted as a gap.</t>
  </si>
  <si>
    <t>Overall</t>
  </si>
  <si>
    <t>Total tests</t>
  </si>
  <si>
    <t>ID</t>
  </si>
  <si>
    <t>Pass</t>
  </si>
  <si>
    <t>Area</t>
  </si>
  <si>
    <t>Priority</t>
  </si>
  <si>
    <t>Test case</t>
  </si>
  <si>
    <t>Expected result</t>
  </si>
  <si>
    <t>Status</t>
  </si>
  <si>
    <t>Tester</t>
  </si>
  <si>
    <t>Date tested</t>
  </si>
  <si>
    <t>Bug link / notes</t>
  </si>
  <si>
    <t>AU-04</t>
  </si>
  <si>
    <t>Fail</t>
  </si>
  <si>
    <t>Auth</t>
  </si>
  <si>
    <t>P0</t>
  </si>
  <si>
    <t>Phone OTP (Termii): correct code, wrong code, expired code, resend spam</t>
  </si>
  <si>
    <t>Correct verifies; wrong/expired rejected; resend is throttled</t>
  </si>
  <si>
    <t>Caleb</t>
  </si>
  <si>
    <t>Blocked</t>
  </si>
  <si>
    <t>No place to input phone number after signup, and if you use signup with google it does not show you to input your phone number during onboarding</t>
  </si>
  <si>
    <t>AU-05</t>
  </si>
  <si>
    <t>Login: right password, wrong password, unverified account</t>
  </si>
  <si>
    <t>Right logs in; wrong gives error; unverified is handled clearly</t>
  </si>
  <si>
    <t>AU-06</t>
  </si>
  <si>
    <t>Google sign-in (new user and existing user)</t>
  </si>
  <si>
    <t>Works for both; consent screen shows Yrdly / api.yrdly.ng branding</t>
  </si>
  <si>
    <t>Not started</t>
  </si>
  <si>
    <t>AU-07</t>
  </si>
  <si>
    <t>Forgot password full flow</t>
  </si>
  <si>
    <t>Email arrives; reset works; old password no longer works</t>
  </si>
  <si>
    <t>AU-10</t>
  </si>
  <si>
    <t>% passed</t>
  </si>
  <si>
    <t>Open protected routes while logged out</t>
  </si>
  <si>
    <t>Redirects to login, then returns to intended page</t>
  </si>
  <si>
    <t>When visiting a protected route it takes you to login if you are not signed in but when you do sign in it takes you to the home feed instead of the intended page</t>
  </si>
  <si>
    <t>PO-04</t>
  </si>
  <si>
    <t>Posts &amp; Feed</t>
  </si>
  <si>
    <t>Like a post</t>
  </si>
  <si>
    <t>Count +1, heart filled, persists after refresh</t>
  </si>
  <si>
    <t>PO-05</t>
  </si>
  <si>
    <t>Unlike a post</t>
  </si>
  <si>
    <t>Count -1, heart empty, persists after refresh</t>
  </si>
  <si>
    <t>P0 total</t>
  </si>
  <si>
    <t>P0 passed</t>
  </si>
  <si>
    <t>PO-06</t>
  </si>
  <si>
    <t>Rapid double-click / spam like</t>
  </si>
  <si>
    <t>Never double counts; final state matches server</t>
  </si>
  <si>
    <t>FR-01</t>
  </si>
  <si>
    <t>Friend Requests</t>
  </si>
  <si>
    <t>Send friend request</t>
  </si>
  <si>
    <t>Button changes to Pending; request recorded</t>
  </si>
  <si>
    <t>, and notifications did not come in</t>
  </si>
  <si>
    <t>FR-02</t>
  </si>
  <si>
    <t>Recipient sees request and notification</t>
  </si>
  <si>
    <t>Appears in requests list and notifications</t>
  </si>
  <si>
    <t>MK-01</t>
  </si>
  <si>
    <t>Marketplace Listings</t>
  </si>
  <si>
    <t>Create For Sale listing with price, images, category</t>
  </si>
  <si>
    <t>Published; appears in marketplace with correct data</t>
  </si>
  <si>
    <t>Grimm</t>
  </si>
  <si>
    <t>P0 failed/blocked</t>
  </si>
  <si>
    <t>MK-06</t>
  </si>
  <si>
    <t>Try to buy your own item</t>
  </si>
  <si>
    <t>MB-01</t>
  </si>
  <si>
    <t>Marketplace Buying &amp; Escrow</t>
  </si>
  <si>
    <t>Buyer pays successfully (Payluk)</t>
  </si>
  <si>
    <t>Status goes to paid; seller notified; buyer sees receipt</t>
  </si>
  <si>
    <t>A buyer paid for the item and it updated on the system but the seller did not get any notification at all</t>
  </si>
  <si>
    <t>MB-02</t>
  </si>
  <si>
    <t>Payment fails or is abandoned</t>
  </si>
  <si>
    <t>No paid transaction created; buyer can retry</t>
  </si>
  <si>
    <t>MB-03</t>
  </si>
  <si>
    <t>Double-click Buy / refresh on payment callback</t>
  </si>
  <si>
    <t>Only one transaction and one charge</t>
  </si>
  <si>
    <t>MB-05</t>
  </si>
  <si>
    <t>Webhook: duplicate delivery, delayed delivery, bad signature</t>
  </si>
  <si>
    <t>Idempotent; delayed reconciles; invalid signature rejected</t>
  </si>
  <si>
    <t>MB-06</t>
  </si>
  <si>
    <t>Seller marks shipped</t>
  </si>
  <si>
    <t>Status shipped; buyer notified</t>
  </si>
  <si>
    <t>MB-07</t>
  </si>
  <si>
    <t>Buyer confirms delivery</t>
  </si>
  <si>
    <t>P0 not started</t>
  </si>
  <si>
    <t>Status delivered/completed; seller balance credited once</t>
  </si>
  <si>
    <t>MB-10</t>
  </si>
  <si>
    <t>Skip a state via direct API (e.g. complete before paid)</t>
  </si>
  <si>
    <t>Rejected by server</t>
  </si>
  <si>
    <t>WD-01</t>
  </si>
  <si>
    <t>Seller Payouts &amp; Withdrawals</t>
  </si>
  <si>
    <t>Add payout bank account</t>
  </si>
  <si>
    <t>Account name resolves and is verified</t>
  </si>
  <si>
    <t>WD-02</t>
  </si>
  <si>
    <t>Enter wrong account number</t>
  </si>
  <si>
    <t>Rejected with clear error</t>
  </si>
  <si>
    <t>WD-03</t>
  </si>
  <si>
    <t>P0 launch gate</t>
  </si>
  <si>
    <t>payout_enabled after seller setup</t>
  </si>
  <si>
    <t>Flips to true correctly (known issue: all false / 'Unauthorized')</t>
  </si>
  <si>
    <t>WD-04</t>
  </si>
  <si>
    <t>Balance after completed sale</t>
  </si>
  <si>
    <t>Pending vs available shown correctly</t>
  </si>
  <si>
    <t>WD-05</t>
  </si>
  <si>
    <t>Withdraw available balance</t>
  </si>
  <si>
    <t>Bank receives exact amount; status and fee correct; balance drops</t>
  </si>
  <si>
    <t>A seller tried to withdraw his funds but could not, the error gotten is Withdrawal failed
[Payluk] POST /v1/payment/create-intent - HTTP
400 (Payluk status: 400): Minimum withdrawal amount is 1000 | body:
("status": 400,"message": "Minimum withdrawal amount is 1000" and he has 950 in his balance</t>
  </si>
  <si>
    <t>WD-06</t>
  </si>
  <si>
    <t>Withdraw more than balance / zero / negative / below minimum</t>
  </si>
  <si>
    <t>Blocked with clear message</t>
  </si>
  <si>
    <t>WD-07</t>
  </si>
  <si>
    <t>Double-click withdraw and concurrent requests</t>
  </si>
  <si>
    <t>Only one payout</t>
  </si>
  <si>
    <t>By area</t>
  </si>
  <si>
    <t>WD-08</t>
  </si>
  <si>
    <t>Withdrawal fails at provider</t>
  </si>
  <si>
    <t>Balance restored; user notified</t>
  </si>
  <si>
    <t>Total</t>
  </si>
  <si>
    <t>EV-01</t>
  </si>
  <si>
    <t>Events</t>
  </si>
  <si>
    <t>P1</t>
  </si>
  <si>
    <t>Create free event</t>
  </si>
  <si>
    <t>Published and discoverable</t>
  </si>
  <si>
    <t>EP-10</t>
  </si>
  <si>
    <t>Event Payouts</t>
  </si>
  <si>
    <t>View or request payout for someone else's event</t>
  </si>
  <si>
    <t>Denied</t>
  </si>
  <si>
    <t>NT-02</t>
  </si>
  <si>
    <t>Notifications</t>
  </si>
  <si>
    <t>Triggers: like, comment, friend request/accept, message</t>
  </si>
  <si>
    <t>Each fires once to the right person</t>
  </si>
  <si>
    <t>SC-01</t>
  </si>
  <si>
    <t>Security</t>
  </si>
  <si>
    <t>RLS: read or update another user's profile, chats, transactions via Supabase client</t>
  </si>
  <si>
    <t>SC-02</t>
  </si>
  <si>
    <t>Tamper with price/amount in payment request</t>
  </si>
  <si>
    <t>Server recalculates; tampering rejected</t>
  </si>
  <si>
    <t>Claude to the rescue</t>
  </si>
  <si>
    <t>SC-04</t>
  </si>
  <si>
    <t>Escrow, payout and refund endpoints</t>
  </si>
  <si>
    <t>Require auth and ownership/role</t>
  </si>
  <si>
    <t>SC-05</t>
  </si>
  <si>
    <t>Webhook signature validation (Payluk, Paystack)</t>
  </si>
  <si>
    <t>Unsigned/invalid requests rejected</t>
  </si>
  <si>
    <t>SC-09</t>
  </si>
  <si>
    <t>Secrets in client bundle / responses</t>
  </si>
  <si>
    <t>None exposed</t>
  </si>
  <si>
    <t>RB-01</t>
  </si>
  <si>
    <t>Responsive &amp; Browsers</t>
  </si>
  <si>
    <t>Every main route at 1440, 1024, 768, 375 widths</t>
  </si>
  <si>
    <t>No horizontal scroll, layout correct, nav works</t>
  </si>
  <si>
    <t>RB-02</t>
  </si>
  <si>
    <t>Chrome, Safari (iOS), Firefox, Edge, Samsung Internet</t>
  </si>
  <si>
    <t>Core flows work</t>
  </si>
  <si>
    <t>PF-03</t>
  </si>
  <si>
    <t>Performance &amp; Reliability</t>
  </si>
  <si>
    <t>Payluk slow or 502</t>
  </si>
  <si>
    <t>Graceful error; no half-created transactions</t>
  </si>
  <si>
    <t>AU-01</t>
  </si>
  <si>
    <t>Sign up with email + password</t>
  </si>
  <si>
    <t>Account created; verification email (Resend) arrives within 1 min</t>
  </si>
  <si>
    <t>victor</t>
  </si>
  <si>
    <t>verification email was a code</t>
  </si>
  <si>
    <t>AU-08</t>
  </si>
  <si>
    <t>Logout, then press browser Back</t>
  </si>
  <si>
    <t>Session cleared; no private data visible</t>
  </si>
  <si>
    <t>vgg</t>
  </si>
  <si>
    <t>works</t>
  </si>
  <si>
    <t>AU-09</t>
  </si>
  <si>
    <t>Refresh and open app in 2 tabs while logged in</t>
  </si>
  <si>
    <t>Session persists; both tabs stay in sync</t>
  </si>
  <si>
    <t>FR-03</t>
  </si>
  <si>
    <t>Accept request</t>
  </si>
  <si>
    <t>Both users see each other as friends; counts update</t>
  </si>
  <si>
    <t>notification came in</t>
  </si>
  <si>
    <t>CH-01</t>
  </si>
  <si>
    <t>Chat</t>
  </si>
  <si>
    <t>Start 1:1 chat from profile; send and receive both ways</t>
  </si>
  <si>
    <t>Real-time delivery, correct order</t>
  </si>
  <si>
    <t>there  is entry for user</t>
  </si>
  <si>
    <t>EV-02</t>
  </si>
  <si>
    <t>Create paid event with multiple ticket tiers</t>
  </si>
  <si>
    <t>Tiers, prices, limits saved to events/ticket_tiers</t>
  </si>
  <si>
    <t>working but showing everything free</t>
  </si>
  <si>
    <t>AD-01</t>
  </si>
  <si>
    <t>Admin</t>
  </si>
  <si>
    <t>Admin routes accessed by non-admin</t>
  </si>
  <si>
    <t>Users cant access admin routes without being admin</t>
  </si>
  <si>
    <t>BZ-01</t>
  </si>
  <si>
    <t>Businesses &amp; Catalog</t>
  </si>
  <si>
    <t>Create business profile (logo, category, LGA)</t>
  </si>
  <si>
    <t>Appears in directory</t>
  </si>
  <si>
    <t>Opiah</t>
  </si>
  <si>
    <t>create business button dont work on pc, but active on my mobile device</t>
  </si>
  <si>
    <t>BZ-02</t>
  </si>
  <si>
    <t>Edit and delete business</t>
  </si>
  <si>
    <t>Updates everywhere; deleted business gone</t>
  </si>
  <si>
    <t>business can be edited and deleted</t>
  </si>
  <si>
    <t>BZ-03</t>
  </si>
  <si>
    <t>Add, edit, delete catalog items</t>
  </si>
  <si>
    <t>Images, price, availability correct</t>
  </si>
  <si>
    <t>Open</t>
  </si>
  <si>
    <t>AU-02</t>
  </si>
  <si>
    <t>Click verification link; try expired and reused links</t>
  </si>
  <si>
    <t>Valid link verifies; expired/reused shows clear error, no crash</t>
  </si>
  <si>
    <t>AU-11</t>
  </si>
  <si>
    <t>Brute-force login / OTP attempts</t>
  </si>
  <si>
    <t>Rate-limited with a clear message</t>
  </si>
  <si>
    <t>caleb</t>
  </si>
  <si>
    <t>AU-12</t>
  </si>
  <si>
    <t>Visit /login and /signup on production domain</t>
  </si>
  <si>
    <t>Correct handoff between marketing site and app</t>
  </si>
  <si>
    <t>Profile &amp; Settings</t>
  </si>
  <si>
    <t>PO-01</t>
  </si>
  <si>
    <t>Create text post; post with images; each category</t>
  </si>
  <si>
    <t>Appears in feed with correct data</t>
  </si>
  <si>
    <t>PO-12</t>
  </si>
  <si>
    <t>Feed scoping: Nearby vs My circle, LGA/ward</t>
  </si>
  <si>
    <t>Only correct-area / friends' content shown</t>
  </si>
  <si>
    <t>PO-13</t>
  </si>
  <si>
    <t>Scroll through long feed</t>
  </si>
  <si>
    <t>Pagination works, no duplicates or gaps</t>
  </si>
  <si>
    <t>PO-14</t>
  </si>
  <si>
    <t>P2</t>
  </si>
  <si>
    <t>Empty feed state</t>
  </si>
  <si>
    <t>Friendly empty state, no errors</t>
  </si>
  <si>
    <t>CH-07</t>
  </si>
  <si>
    <t>New message notification</t>
  </si>
  <si>
    <t>In-app and push/email as configured</t>
  </si>
  <si>
    <t>MK-04</t>
  </si>
  <si>
    <t>Mark item sold</t>
  </si>
  <si>
    <t>Cannot be purchased afterwards</t>
  </si>
  <si>
    <t>WD-09</t>
  </si>
  <si>
    <t>Withdrawal history and success email</t>
  </si>
  <si>
    <t>Accurate and delivered</t>
  </si>
  <si>
    <t>NT-04</t>
  </si>
  <si>
    <t>Tap a notification</t>
  </si>
  <si>
    <t>Deep links to correct screen</t>
  </si>
  <si>
    <t>NT-05</t>
  </si>
  <si>
    <t>Email notifications (Resend)</t>
  </si>
  <si>
    <t>Arrive, not in spam, links work</t>
  </si>
  <si>
    <t>NT-06</t>
  </si>
  <si>
    <t>Web push: allow, receive with tab closed, unsubscribe</t>
  </si>
  <si>
    <t>Works end to end</t>
  </si>
  <si>
    <t>SD-02</t>
  </si>
  <si>
    <t>Search &amp; Discovery</t>
  </si>
  <si>
    <t>Switch LGA temporarily while browsing</t>
  </si>
  <si>
    <t>Content changes, home LGA unchanged</t>
  </si>
  <si>
    <t>SD-03</t>
  </si>
  <si>
    <t>Empty results and special characters</t>
  </si>
  <si>
    <t>No errors</t>
  </si>
  <si>
    <t>MS-01</t>
  </si>
  <si>
    <t>Marketing Site &amp; Email</t>
  </si>
  <si>
    <t>Identity Verification (NIN)</t>
  </si>
  <si>
    <t>All CTAs and links on yrdly.ng</t>
  </si>
  <si>
    <t>Correct targets, no 404</t>
  </si>
  <si>
    <t>MS-02</t>
  </si>
  <si>
    <t>Newsletter signup</t>
  </si>
  <si>
    <t>Subscribes and confirms</t>
  </si>
  <si>
    <t>MS-03</t>
  </si>
  <si>
    <t>Terms, privacy, refund policy pages</t>
  </si>
  <si>
    <t>Exist and match real behaviour</t>
  </si>
  <si>
    <t>MS-04</t>
  </si>
  <si>
    <t>Email templates branding and footer links</t>
  </si>
  <si>
    <t>Correct</t>
  </si>
  <si>
    <t>AU-03</t>
  </si>
  <si>
    <t>Sign up with an email already in use</t>
  </si>
  <si>
    <t>Clear error, no duplicate account</t>
  </si>
  <si>
    <t>PR-01</t>
  </si>
  <si>
    <t>Onboarding: choose home LGA and ward</t>
  </si>
  <si>
    <t>Saved; feed defaults to that LGA</t>
  </si>
  <si>
    <t>PR-02</t>
  </si>
  <si>
    <t>Edit name, bio, avatar (try large and wrong file types)</t>
  </si>
  <si>
    <t>Saves; bad files rejected with message</t>
  </si>
  <si>
    <t>PR-03</t>
  </si>
  <si>
    <t>View another user's profile</t>
  </si>
  <si>
    <t>Shows public info only; correct action buttons (friend, message)</t>
  </si>
  <si>
    <t>PR-04</t>
  </si>
  <si>
    <t>Change home LGA in settings</t>
  </si>
  <si>
    <t>Feed and discovery update to new LGA</t>
  </si>
  <si>
    <t>PR-05</t>
  </si>
  <si>
    <t>Notification preferences</t>
  </si>
  <si>
    <t>Changes persist and are respected</t>
  </si>
  <si>
    <t>PR-06</t>
  </si>
  <si>
    <t>Delete / deactivate account</t>
  </si>
  <si>
    <t>Data handled per policy; cannot log in; no orphaned errors for others</t>
  </si>
  <si>
    <t>KV-01</t>
  </si>
  <si>
    <t>Submit valid NIN matching profile name</t>
  </si>
  <si>
    <t>Verified status/badge set</t>
  </si>
  <si>
    <t>KV-02</t>
  </si>
  <si>
    <t>Submit NIN whose name does not match profile</t>
  </si>
  <si>
    <t>Rejected with clear message; not verified</t>
  </si>
  <si>
    <t>KV-03</t>
  </si>
  <si>
    <t>Invalid NIN format / non-existent NIN</t>
  </si>
  <si>
    <t>Clear validation error</t>
  </si>
  <si>
    <t>KV-04</t>
  </si>
  <si>
    <t>Provider timeout or downtime</t>
  </si>
  <si>
    <t>Graceful error, retry possible, no stuck state</t>
  </si>
  <si>
    <t>KV-05</t>
  </si>
  <si>
    <t>Retry limits</t>
  </si>
  <si>
    <t>Repeated failures are limited</t>
  </si>
  <si>
    <t>KV-06</t>
  </si>
  <si>
    <t>NIN exposure check (network tab, logs, API responses)</t>
  </si>
  <si>
    <t>NIN is not leaked to other users or logged in plain text</t>
  </si>
  <si>
    <t>KV-07</t>
  </si>
  <si>
    <t>Features gated by verification</t>
  </si>
  <si>
    <t>Blocked when unverified, open when verified</t>
  </si>
  <si>
    <t>PO-02</t>
  </si>
  <si>
    <t>Post flagged by moderation</t>
  </si>
  <si>
    <t>Blocked/held per rules; user told why</t>
  </si>
  <si>
    <t>PO-03</t>
  </si>
  <si>
    <t>Edit and delete own post</t>
  </si>
  <si>
    <t>Works; cannot edit/delete others' posts</t>
  </si>
  <si>
    <t>failed to delete post</t>
  </si>
  <si>
    <t>PO-07</t>
  </si>
  <si>
    <t>Two users like the same post</t>
  </si>
  <si>
    <t>Counts consistent for both after refresh</t>
  </si>
  <si>
    <t>like on post increments on every like</t>
  </si>
  <si>
    <t>PO-08</t>
  </si>
  <si>
    <t>Like notification</t>
  </si>
  <si>
    <t>Author notified; no notification for liking own post</t>
  </si>
  <si>
    <t>did not get notified for liking my post</t>
  </si>
  <si>
    <t>PO-09</t>
  </si>
  <si>
    <t>Add, edit, delete comment; reply to comment</t>
  </si>
  <si>
    <t>Works; counts correct; comment notification sent</t>
  </si>
  <si>
    <t>however post was not deleted real time, i had to exit larger view of post before it reflected that my post was deleted</t>
  </si>
  <si>
    <t>PO-10</t>
  </si>
  <si>
    <t>Share/open post link (logged in and logged out)</t>
  </si>
  <si>
    <t>Opens correct post; logged-out behaviour is sensible</t>
  </si>
  <si>
    <t>PO-11</t>
  </si>
  <si>
    <t>Report a post</t>
  </si>
  <si>
    <t>Report reaches admin queue</t>
  </si>
  <si>
    <t>feature not active yet</t>
  </si>
  <si>
    <t>FR-04</t>
  </si>
  <si>
    <t>Decline request</t>
  </si>
  <si>
    <t>Removed; sender not wrongly shown as friends</t>
  </si>
  <si>
    <t>FR-05</t>
  </si>
  <si>
    <t>Cancel a sent request</t>
  </si>
  <si>
    <t>Removed for both sides</t>
  </si>
  <si>
    <t>FR-06</t>
  </si>
  <si>
    <t>Unfriend</t>
  </si>
  <si>
    <t>Removed for both; feed/circle updates</t>
  </si>
  <si>
    <t>removed a user from followers does not persist</t>
  </si>
  <si>
    <t>FR-07</t>
  </si>
  <si>
    <t>Send request to self / duplicate request</t>
  </si>
  <si>
    <t>FR-08</t>
  </si>
  <si>
    <t>A and B send requests to each other at the same time</t>
  </si>
  <si>
    <t>Handled cleanly (auto-accept or one request), no duplicates</t>
  </si>
  <si>
    <t>FR-09</t>
  </si>
  <si>
    <t>After accept, check My circle feed</t>
  </si>
  <si>
    <t>Friend's posts appear</t>
  </si>
  <si>
    <t>FR-10</t>
  </si>
  <si>
    <t>Block user</t>
  </si>
  <si>
    <t>Friendship removed; they cannot request or message</t>
  </si>
  <si>
    <t>CH-02</t>
  </si>
  <si>
    <t>Unread badge and mark as read</t>
  </si>
  <si>
    <t>Accurate counts, clears when read</t>
  </si>
  <si>
    <t>CH-03</t>
  </si>
  <si>
    <t>Send image; send oversized/invalid file</t>
  </si>
  <si>
    <t>Image works; bad file rejected</t>
  </si>
  <si>
    <t>CH-04</t>
  </si>
  <si>
    <t>Lose connection then reconnect</t>
  </si>
  <si>
    <t>Messages sync; no duplicates or loss</t>
  </si>
  <si>
    <t>CH-05</t>
  </si>
  <si>
    <t>Message from a marketplace listing</t>
  </si>
  <si>
    <t>Item context attached to chat</t>
  </si>
  <si>
    <t>CH-06</t>
  </si>
  <si>
    <t>Message a blocked / deleted user</t>
  </si>
  <si>
    <t>Prevented with clear message</t>
  </si>
  <si>
    <t>MK-02</t>
  </si>
  <si>
    <t>Create Giveaway listing and claim it</t>
  </si>
  <si>
    <t>Claim flow works; item marked claimed</t>
  </si>
  <si>
    <t>MK-03</t>
  </si>
  <si>
    <t>Edit price/images; delete listing</t>
  </si>
  <si>
    <t>Updates everywhere; deleted listing gone</t>
  </si>
  <si>
    <t>MK-05</t>
  </si>
  <si>
    <t>Search and filter (category, price, LGA)</t>
  </si>
  <si>
    <t>Correct results</t>
  </si>
  <si>
    <t>MK-07</t>
  </si>
  <si>
    <t>Listing preview vs published listing</t>
  </si>
  <si>
    <t>Identical</t>
  </si>
  <si>
    <t>MB-04</t>
  </si>
  <si>
    <t>Commission check (3%)</t>
  </si>
  <si>
    <t>Exact 3% taken; seller net shown correctly on all screens</t>
  </si>
  <si>
    <t>MB-08</t>
  </si>
  <si>
    <t>Auto-complete after timeout (if enabled)</t>
  </si>
  <si>
    <t>Triggers at correct time; funds released once</t>
  </si>
  <si>
    <t>MB-09</t>
  </si>
  <si>
    <t>Status timeline on transaction details</t>
  </si>
  <si>
    <t>Correct state at every step, mobile and desktop</t>
  </si>
  <si>
    <t>MB-11</t>
  </si>
  <si>
    <t>Transaction history for buyer and seller</t>
  </si>
  <si>
    <t>Accurate amounts, dates, statuses</t>
  </si>
  <si>
    <t>MR-01</t>
  </si>
  <si>
    <t>Marketplace Refunds &amp; Disputes</t>
  </si>
  <si>
    <t>Buyer opens dispute with reason and evidence</t>
  </si>
  <si>
    <t>Status disputed; seller and admin notified; funds stay held</t>
  </si>
  <si>
    <t>MR-02</t>
  </si>
  <si>
    <t>Seller responds to dispute</t>
  </si>
  <si>
    <t>Response visible to buyer and admin</t>
  </si>
  <si>
    <t>MR-03</t>
  </si>
  <si>
    <t>Admin resolves: full refund to buyer</t>
  </si>
  <si>
    <t>Buyer refunded full amount; seller not paid; status updated</t>
  </si>
  <si>
    <t>MR-04</t>
  </si>
  <si>
    <t>Admin resolves: partial refund</t>
  </si>
  <si>
    <t>Buyer gets disputes.refund_amount; seller gets the rest minus commission</t>
  </si>
  <si>
    <t>MR-05</t>
  </si>
  <si>
    <t>Admin resolves in seller's favour</t>
  </si>
  <si>
    <t>Seller paid; buyer notified</t>
  </si>
  <si>
    <t>MR-06</t>
  </si>
  <si>
    <t>Cancel/refund before shipping</t>
  </si>
  <si>
    <t>Full refund; item available again</t>
  </si>
  <si>
    <t>MR-07</t>
  </si>
  <si>
    <t>Refund requested twice / refund after completion</t>
  </si>
  <si>
    <t>Second attempt blocked; no double payout</t>
  </si>
  <si>
    <t>MR-08</t>
  </si>
  <si>
    <t>Refund shown distinctly in transaction details</t>
  </si>
  <si>
    <t>Refund amount and state visible, not confused with cancelled</t>
  </si>
  <si>
    <t>MR-09</t>
  </si>
  <si>
    <t>Refund notifications</t>
  </si>
  <si>
    <t>Both parties get in-app and email notice</t>
  </si>
  <si>
    <t>MR-10</t>
  </si>
  <si>
    <t>Payluk refund API fails</t>
  </si>
  <si>
    <t>Error surfaced, retry possible, no lost money, admin alerted</t>
  </si>
  <si>
    <t>MR-11</t>
  </si>
  <si>
    <t>Reconcile refunds against Payluk dashboard</t>
  </si>
  <si>
    <t>Every refund matches amount and reference</t>
  </si>
  <si>
    <t>WD-10</t>
  </si>
  <si>
    <t>Call withdraw API for another user's balance</t>
  </si>
  <si>
    <t>Tell claude to test this</t>
  </si>
  <si>
    <t>WD-11</t>
  </si>
  <si>
    <t>Wallet deposit/top-up UI (discontinued by Payluk)</t>
  </si>
  <si>
    <t>No path still offers deposit or top-up</t>
  </si>
  <si>
    <t>EV-03</t>
  </si>
  <si>
    <t>Past date, empty fields, invalid price</t>
  </si>
  <si>
    <t>Validation errors</t>
  </si>
  <si>
    <t>EV-04</t>
  </si>
  <si>
    <t>Event flagged by moderation</t>
  </si>
  <si>
    <t>Held as DRAFT; admin can publish</t>
  </si>
  <si>
    <t>EV-05</t>
  </si>
  <si>
    <t>Edit event details</t>
  </si>
  <si>
    <t>Saved; attendees notified (if built)</t>
  </si>
  <si>
    <t>EV-06</t>
  </si>
  <si>
    <t>Cancel event with ticket sales</t>
  </si>
  <si>
    <t>Attendees notified and refunded (if built, else flag as gap)</t>
  </si>
  <si>
    <t>EV-07</t>
  </si>
  <si>
    <t>Discovery by LGA, detail page, share link</t>
  </si>
  <si>
    <t>Correct and working</t>
  </si>
  <si>
    <t>EV-08</t>
  </si>
  <si>
    <t>RSVP to free event; capacity limit</t>
  </si>
  <si>
    <t>Capacity enforced; sold-out state shown</t>
  </si>
  <si>
    <t>EV-09</t>
  </si>
  <si>
    <t>Tier sale windows and per-tier limits</t>
  </si>
  <si>
    <t>Respected</t>
  </si>
  <si>
    <t>TP-01</t>
  </si>
  <si>
    <t>Ticket Purchase (Paystack)</t>
  </si>
  <si>
    <t>Buy ticket successfully</t>
  </si>
  <si>
    <t>Ticket with QR issued; confirmation email; appears in My Tickets</t>
  </si>
  <si>
    <t>TP-02</t>
  </si>
  <si>
    <t>Buy multiple tickets / different tiers</t>
  </si>
  <si>
    <t>Correct quantity, total and tickets</t>
  </si>
  <si>
    <t>TP-03</t>
  </si>
  <si>
    <t>Payment fails or abandoned</t>
  </si>
  <si>
    <t>No ticket issued; retry works</t>
  </si>
  <si>
    <t>TP-04</t>
  </si>
  <si>
    <t>Webhook duplicates / refresh on callback</t>
  </si>
  <si>
    <t>Exactly one ticket per payment</t>
  </si>
  <si>
    <t>TP-05</t>
  </si>
  <si>
    <t>Last ticket bought by two users at once</t>
  </si>
  <si>
    <t>Only one succeeds; no oversell</t>
  </si>
  <si>
    <t>TP-06</t>
  </si>
  <si>
    <t>Fees shown to buyer</t>
  </si>
  <si>
    <t>Match what Paystack actually charges</t>
  </si>
  <si>
    <t>TP-07</t>
  </si>
  <si>
    <t>Open ticket on phone, low brightness, offline</t>
  </si>
  <si>
    <t>QR renders and is scannable</t>
  </si>
  <si>
    <t>TS-01</t>
  </si>
  <si>
    <t>Ticket Scanning</t>
  </si>
  <si>
    <t>Organizer opens scanner (iOS Safari, Android Chrome)</t>
  </si>
  <si>
    <t>Camera permission works; scanner loads</t>
  </si>
  <si>
    <t>TS-02</t>
  </si>
  <si>
    <t>Scan valid ticket</t>
  </si>
  <si>
    <t>Accepted, marked used, shows name and tier</t>
  </si>
  <si>
    <t>TS-03</t>
  </si>
  <si>
    <t>Scan same ticket again</t>
  </si>
  <si>
    <t>Rejected as already used, with time of first scan</t>
  </si>
  <si>
    <t>TS-04</t>
  </si>
  <si>
    <t>Scan ticket from a different event</t>
  </si>
  <si>
    <t>Rejected</t>
  </si>
  <si>
    <t>TS-05</t>
  </si>
  <si>
    <t>Scan forged or edited QR</t>
  </si>
  <si>
    <t>TS-06</t>
  </si>
  <si>
    <t>Scan refunded / cancelled ticket</t>
  </si>
  <si>
    <t>TS-07</t>
  </si>
  <si>
    <t>Scan unpaid / pending ticket</t>
  </si>
  <si>
    <t>TS-08</t>
  </si>
  <si>
    <t>Non-organizer tries to scan (UI and API)</t>
  </si>
  <si>
    <t>TS-09</t>
  </si>
  <si>
    <t>Two scanners scan the same ticket at once</t>
  </si>
  <si>
    <t>Only one accepted</t>
  </si>
  <si>
    <t>TS-10</t>
  </si>
  <si>
    <t>Poor network while scanning</t>
  </si>
  <si>
    <t>Clear error, never a false accept</t>
  </si>
  <si>
    <t>TS-11</t>
  </si>
  <si>
    <t>Manual entry / search by name or code</t>
  </si>
  <si>
    <t>Works as fallback</t>
  </si>
  <si>
    <t>TS-12</t>
  </si>
  <si>
    <t>Attendance count on organizer dashboard</t>
  </si>
  <si>
    <t>Updates and matches scans</t>
  </si>
  <si>
    <t>TS-13</t>
  </si>
  <si>
    <t>Scan outside event time window</t>
  </si>
  <si>
    <t>Handled per rules</t>
  </si>
  <si>
    <t>could not edit business name, delete function was not found</t>
  </si>
  <si>
    <t>TS-14</t>
  </si>
  <si>
    <t>Damaged or low-light QR</t>
  </si>
  <si>
    <t>Manual fallback available</t>
  </si>
  <si>
    <t>ER-01</t>
  </si>
  <si>
    <t>Event Refunds</t>
  </si>
  <si>
    <t>Attendee requests refund inside policy window</t>
  </si>
  <si>
    <t>Approved and refunded to original method</t>
  </si>
  <si>
    <t>ER-02</t>
  </si>
  <si>
    <t>Attendee requests refund outside window</t>
  </si>
  <si>
    <t>ER-03</t>
  </si>
  <si>
    <t>Organizer cancels event</t>
  </si>
  <si>
    <t>All attendees refunded; amounts correct; emails sent</t>
  </si>
  <si>
    <t>ER-04</t>
  </si>
  <si>
    <t>Refund one ticket in multi-ticket order</t>
  </si>
  <si>
    <t>Only that ticket refunded and invalidated</t>
  </si>
  <si>
    <t>ER-05</t>
  </si>
  <si>
    <t>Refund an already-scanned ticket</t>
  </si>
  <si>
    <t>ER-06</t>
  </si>
  <si>
    <t>Refund status and email</t>
  </si>
  <si>
    <t>Status updates; attendee notified</t>
  </si>
  <si>
    <t>ER-07</t>
  </si>
  <si>
    <t>Refund after organizer payout already made</t>
  </si>
  <si>
    <t>Handled (hold, negative balance, or blocked), never silent loss</t>
  </si>
  <si>
    <t>ER-08</t>
  </si>
  <si>
    <t>Double refund attempt</t>
  </si>
  <si>
    <t>ER-09</t>
  </si>
  <si>
    <t>Paystack refund API fails</t>
  </si>
  <si>
    <t>Error surfaced, retryable, admin alerted</t>
  </si>
  <si>
    <t>EP-01</t>
  </si>
  <si>
    <t>Organizer adds payout account</t>
  </si>
  <si>
    <t>Verified account name</t>
  </si>
  <si>
    <t>EP-02</t>
  </si>
  <si>
    <t>Earnings dashboard vs actual sales</t>
  </si>
  <si>
    <t>Gross, fees, refunds, net all reconcile</t>
  </si>
  <si>
    <t>EP-03</t>
  </si>
  <si>
    <t>Payout timing rule</t>
  </si>
  <si>
    <t>Blocked before allowed time, available after</t>
  </si>
  <si>
    <t>EP-04</t>
  </si>
  <si>
    <t>Payout amount = sales - refunds - fees/commission</t>
  </si>
  <si>
    <t>Exact; matches Paystack dashboard</t>
  </si>
  <si>
    <t>EP-05</t>
  </si>
  <si>
    <t>Payout to bank</t>
  </si>
  <si>
    <t>Bank receives exact amount; status updates; notification sent</t>
  </si>
  <si>
    <t>EP-06</t>
  </si>
  <si>
    <t>Payout fails at provider</t>
  </si>
  <si>
    <t>EP-07</t>
  </si>
  <si>
    <t>Request payout twice / concurrently</t>
  </si>
  <si>
    <t>EP-08</t>
  </si>
  <si>
    <t>Multiple events</t>
  </si>
  <si>
    <t>Separate, correct totals</t>
  </si>
  <si>
    <t>EP-09</t>
  </si>
  <si>
    <t>Free event</t>
  </si>
  <si>
    <t>No payout shown</t>
  </si>
  <si>
    <t>EP-11</t>
  </si>
  <si>
    <t>Settlement report / export</t>
  </si>
  <si>
    <t>Accurate</t>
  </si>
  <si>
    <t>BZ-04</t>
  </si>
  <si>
    <t>Customer browses catalog and chats business</t>
  </si>
  <si>
    <t>Works</t>
  </si>
  <si>
    <t>BZ-05</t>
  </si>
  <si>
    <t>Buy catalog item via escrow</t>
  </si>
  <si>
    <t>Same lifecycle as marketplace; owner notified</t>
  </si>
  <si>
    <t>BZ-06</t>
  </si>
  <si>
    <t>Owner manages orders (ship / fulfil)</t>
  </si>
  <si>
    <t>Status changes reach customer</t>
  </si>
  <si>
    <t>BZ-07</t>
  </si>
  <si>
    <t>Reviews and ratings</t>
  </si>
  <si>
    <t>One per user; average updates; cannot review own business</t>
  </si>
  <si>
    <t>BZ-08</t>
  </si>
  <si>
    <t>Business order refund / dispute</t>
  </si>
  <si>
    <t>Full and partial refunds behave like marketplace</t>
  </si>
  <si>
    <t>BZ-09</t>
  </si>
  <si>
    <t>Business owner withdrawal</t>
  </si>
  <si>
    <t>Same checks as seller withdrawals</t>
  </si>
  <si>
    <t>NT-01</t>
  </si>
  <si>
    <t>Notification list, unread badge, mark read / mark all read</t>
  </si>
  <si>
    <t>NT-03</t>
  </si>
  <si>
    <t>Triggers: purchase, shipped, delivered, dispute, refund, payout, ticket</t>
  </si>
  <si>
    <t>NT-07</t>
  </si>
  <si>
    <t>Self-actions and duplicates</t>
  </si>
  <si>
    <t>No self-notifications, no duplicates</t>
  </si>
  <si>
    <t>SD-01</t>
  </si>
  <si>
    <t>Search users, posts, items, events, businesses</t>
  </si>
  <si>
    <t>Relevant results per type</t>
  </si>
  <si>
    <t>SF-01</t>
  </si>
  <si>
    <t>Safety &amp; Reporting</t>
  </si>
  <si>
    <t>Post a safety alert</t>
  </si>
  <si>
    <t>Shows in the right LGA with category</t>
  </si>
  <si>
    <t>SF-02</t>
  </si>
  <si>
    <t>Report user, post, listing, message</t>
  </si>
  <si>
    <t>Reaches admin queue</t>
  </si>
  <si>
    <t>SF-03</t>
  </si>
  <si>
    <t>Block and unblock</t>
  </si>
  <si>
    <t>Takes effect immediately both ways</t>
  </si>
  <si>
    <t>AD-02</t>
  </si>
  <si>
    <t>Resolve disputes from admin</t>
  </si>
  <si>
    <t>Triggers correct money movement</t>
  </si>
  <si>
    <t>AD-03</t>
  </si>
  <si>
    <t>Moderation queue and DRAFT events</t>
  </si>
  <si>
    <t>Approve/reject works</t>
  </si>
  <si>
    <t>AD-04</t>
  </si>
  <si>
    <t>Suspend / ban user</t>
  </si>
  <si>
    <t>Cannot log in or transact</t>
  </si>
  <si>
    <t>AD-05</t>
  </si>
  <si>
    <t>Dashboard totals vs database</t>
  </si>
  <si>
    <t>Match</t>
  </si>
  <si>
    <t>SC-03</t>
  </si>
  <si>
    <t>IDOR: change transaction, ticket or order ID in URL</t>
  </si>
  <si>
    <t>SC-06</t>
  </si>
  <si>
    <t>XSS in posts, comments, bio, chat, listing titles</t>
  </si>
  <si>
    <t>Rendered escaped</t>
  </si>
  <si>
    <t>SC-07</t>
  </si>
  <si>
    <t>File upload type and size limits</t>
  </si>
  <si>
    <t>Enforced server-side</t>
  </si>
  <si>
    <t>SC-08</t>
  </si>
  <si>
    <t>Rate limits on OTP, login, posting, payments</t>
  </si>
  <si>
    <t>Enforced and persistent across cold starts</t>
  </si>
  <si>
    <t>RB-03</t>
  </si>
  <si>
    <t>Throttle to slow 3G</t>
  </si>
  <si>
    <t>Loading states shown, no broken pages</t>
  </si>
  <si>
    <t>RB-04</t>
  </si>
  <si>
    <t>Payment and scanner flows on mobile browsers</t>
  </si>
  <si>
    <t>Usable one-handed</t>
  </si>
  <si>
    <t>PF-01</t>
  </si>
  <si>
    <t>Lighthouse on key pages (LCP, INP, CLS)</t>
  </si>
  <si>
    <t>Meet targets</t>
  </si>
  <si>
    <t>PF-02</t>
  </si>
  <si>
    <t>404 and 500 pages; offline banner</t>
  </si>
  <si>
    <t>Friendly, no stack traces</t>
  </si>
  <si>
    <t>PF-04</t>
  </si>
  <si>
    <t>Load test: 100 concurrent users on feed</t>
  </si>
  <si>
    <t>No errors, acceptable response times</t>
  </si>
  <si>
    <t>PF-05</t>
  </si>
  <si>
    <t>Errors logged and someone alerted</t>
  </si>
  <si>
    <t>Failure in payment/webhook triggers an alert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</si>
</sst>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8">
    <font>
      <sz val="11.0"/>
      <color theme="1"/>
      <name val="Calibri"/>
      <scheme val="minor"/>
    </font>
    <font>
      <b/>
      <sz val="16.0"/>
      <color theme="1"/>
      <name val="Arial"/>
    </font>
    <font>
      <i/>
      <sz val="10.0"/>
      <color theme="1"/>
      <name val="Arial"/>
    </font>
    <font>
      <b/>
      <sz val="11.0"/>
      <color theme="1"/>
      <name val="Arial"/>
    </font>
    <font>
      <sz val="10.0"/>
      <color theme="1"/>
      <name val="Arial"/>
    </font>
    <font>
      <b/>
      <sz val="12.0"/>
      <color theme="1"/>
      <name val="Arial"/>
    </font>
    <font>
      <sz val="11.0"/>
      <color theme="1"/>
      <name val="Arial"/>
    </font>
    <font>
      <b/>
      <sz val="11.0"/>
      <color rgb="FFFFFFFF"/>
      <name val="Arial"/>
    </font>
  </fonts>
  <fills count="3">
    <fill>
      <patternFill patternType="none"/>
    </fill>
    <fill>
      <patternFill patternType="lightGray"/>
    </fill>
    <fill>
      <patternFill patternType="solid">
        <fgColor rgb="FF1F3A2E"/>
        <bgColor rgb="FF1F3A2E"/>
      </patternFill>
    </fill>
  </fills>
  <borders count="3">
    <border/>
    <border>
      <left style="thin">
        <color rgb="FFD0D0D0"/>
      </left>
      <right style="thin">
        <color rgb="FFD0D0D0"/>
      </right>
      <top style="thin">
        <color rgb="FFD0D0D0"/>
      </top>
      <bottom style="thin">
        <color rgb="FFD0D0D0"/>
      </bottom>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bottom" wrapText="0"/>
    </xf>
    <xf borderId="1" fillId="2" fontId="7" numFmtId="0" xfId="0" applyAlignment="1" applyBorder="1" applyFill="1" applyFont="1">
      <alignment shrinkToFit="0" vertical="center" wrapText="1"/>
    </xf>
    <xf borderId="1" fillId="0" fontId="4" numFmtId="0" xfId="0" applyAlignment="1" applyBorder="1" applyFont="1">
      <alignment shrinkToFit="0" vertical="top" wrapText="1"/>
    </xf>
    <xf borderId="1" fillId="0" fontId="4" numFmtId="0" xfId="0" applyAlignment="1" applyBorder="1" applyFont="1">
      <alignment readingOrder="0" shrinkToFit="0" vertical="top" wrapText="1"/>
    </xf>
    <xf borderId="1" fillId="0" fontId="4" numFmtId="164" xfId="0" applyAlignment="1" applyBorder="1" applyFont="1" applyNumberFormat="1">
      <alignment readingOrder="0" shrinkToFit="0" vertical="top" wrapText="1"/>
    </xf>
    <xf borderId="0" fillId="0" fontId="3" numFmtId="9" xfId="0" applyAlignment="1" applyFont="1" applyNumberFormat="1">
      <alignment shrinkToFit="0" vertical="bottom" wrapText="0"/>
    </xf>
    <xf borderId="2" fillId="2" fontId="7" numFmtId="0" xfId="0" applyAlignment="1" applyBorder="1" applyFill="1" applyFont="1">
      <alignment shrinkToFit="0" vertical="bottom" wrapText="0"/>
    </xf>
    <xf borderId="1" fillId="0" fontId="4" numFmtId="165" xfId="0" applyAlignment="1" applyBorder="1" applyFont="1" applyNumberFormat="1">
      <alignment readingOrder="0" shrinkToFit="0" vertical="top" wrapText="1"/>
    </xf>
    <xf borderId="0" fillId="0" fontId="6" numFmtId="9" xfId="0" applyAlignment="1" applyFont="1" applyNumberFormat="1">
      <alignment shrinkToFit="0" vertical="bottom" wrapText="0"/>
    </xf>
  </cellXfs>
  <cellStyles count="1">
    <cellStyle xfId="0" name="Normal" builtinId="0"/>
  </cellStyles>
  <dxfs count="6">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5700"/>
      </font>
      <fill>
        <patternFill patternType="solid">
          <fgColor rgb="FFFFEB9C"/>
          <bgColor rgb="FFFFEB9C"/>
        </patternFill>
      </fill>
      <border/>
    </dxf>
    <dxf>
      <font>
        <b/>
        <color rgb="FF9C0006"/>
      </font>
      <fill>
        <patternFill patternType="none"/>
      </fill>
      <border/>
    </dxf>
    <dxf>
      <font/>
      <fill>
        <patternFill patternType="solid">
          <fgColor rgb="FFC6EFCE"/>
          <bgColor rgb="FFC6EFC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7" width="13.0"/>
    <col customWidth="1" min="8" max="26" width="8.71"/>
  </cols>
  <sheetData>
    <row r="1">
      <c r="A1" s="1" t="s">
        <v>0</v>
      </c>
    </row>
    <row r="2">
      <c r="A2" s="2" t="s">
        <v>1</v>
      </c>
    </row>
    <row r="4">
      <c r="A4" s="3" t="s">
        <v>2</v>
      </c>
    </row>
    <row r="5">
      <c r="A5" s="4" t="s">
        <v>3</v>
      </c>
    </row>
    <row r="6">
      <c r="A6" s="4" t="s">
        <v>4</v>
      </c>
    </row>
    <row r="7">
      <c r="A7" s="4" t="s">
        <v>5</v>
      </c>
    </row>
    <row r="8">
      <c r="A8" s="4" t="s">
        <v>6</v>
      </c>
    </row>
    <row r="9">
      <c r="A9" s="4" t="s">
        <v>7</v>
      </c>
    </row>
    <row r="10">
      <c r="A10" s="4" t="s">
        <v>8</v>
      </c>
    </row>
    <row r="13">
      <c r="A13" s="5" t="s">
        <v>9</v>
      </c>
    </row>
    <row r="14">
      <c r="A14" s="6" t="s">
        <v>10</v>
      </c>
      <c r="B14" s="3">
        <f>COUNTA(Checklist!$F$2:$F$196)</f>
        <v>195</v>
      </c>
    </row>
    <row r="15">
      <c r="A15" s="6" t="s">
        <v>12</v>
      </c>
      <c r="B15" s="3">
        <f>COUNTIF(Checklist!$F$2:$F$196,"Pass")</f>
        <v>70</v>
      </c>
    </row>
    <row r="16">
      <c r="A16" s="6" t="s">
        <v>22</v>
      </c>
      <c r="B16" s="3">
        <f>COUNTIF(Checklist!$F$2:$F$196,"Fail")</f>
        <v>4</v>
      </c>
    </row>
    <row r="17">
      <c r="A17" s="6" t="s">
        <v>28</v>
      </c>
      <c r="B17" s="3">
        <f>COUNTIF(Checklist!$F$2:$F$196,"Blocked")</f>
        <v>7</v>
      </c>
    </row>
    <row r="18">
      <c r="A18" s="6" t="s">
        <v>36</v>
      </c>
      <c r="B18" s="3">
        <f>COUNTIF(Checklist!$F$2:$F$196,"Not started")</f>
        <v>114</v>
      </c>
    </row>
    <row r="19">
      <c r="A19" s="6" t="s">
        <v>41</v>
      </c>
      <c r="B19" s="11">
        <f>IF(B14=0,0,B15/B14)</f>
        <v>0.358974359</v>
      </c>
    </row>
    <row r="20">
      <c r="A20" s="6" t="s">
        <v>52</v>
      </c>
      <c r="B20" s="3">
        <f>COUNTIF(Checklist!$C$2:$C$196,"P0")</f>
        <v>94</v>
      </c>
    </row>
    <row r="21" ht="15.75" customHeight="1">
      <c r="A21" s="6" t="s">
        <v>53</v>
      </c>
      <c r="B21" s="3">
        <f>COUNTIFS(Checklist!$C$2:$C$196,"P0",Checklist!$F$2:$F$196,"Pass")</f>
        <v>37</v>
      </c>
    </row>
    <row r="22" ht="15.75" customHeight="1">
      <c r="A22" s="6" t="s">
        <v>70</v>
      </c>
      <c r="B22" s="3">
        <f>COUNTIFS(Checklist!$C$2:$C$196,"P0",Checklist!$F$2:$F$196,"Fail")+COUNTIFS(Checklist!$C$2:$C$196,"P0",Checklist!$F$2:$F$196,"Blocked")</f>
        <v>9</v>
      </c>
    </row>
    <row r="23" ht="15.75" customHeight="1">
      <c r="A23" s="6" t="s">
        <v>92</v>
      </c>
      <c r="B23" s="3">
        <f>COUNTIFS(Checklist!$C$2:$C$196,"P0",Checklist!$F$2:$F$196,"Not started")</f>
        <v>48</v>
      </c>
    </row>
    <row r="24" ht="15.75" customHeight="1"/>
    <row r="25" ht="15.75" customHeight="1">
      <c r="A25" s="3" t="s">
        <v>105</v>
      </c>
      <c r="B25" s="3" t="str">
        <f>IF(B20=B21,"CLEAR","NOT CLEAR")</f>
        <v>NOT CLEAR</v>
      </c>
    </row>
    <row r="26" ht="15.75" customHeight="1"/>
    <row r="27" ht="15.75" customHeight="1">
      <c r="A27" s="12" t="s">
        <v>121</v>
      </c>
      <c r="B27" s="12" t="s">
        <v>125</v>
      </c>
      <c r="C27" s="12" t="s">
        <v>12</v>
      </c>
      <c r="D27" s="12" t="s">
        <v>22</v>
      </c>
      <c r="E27" s="12" t="s">
        <v>28</v>
      </c>
      <c r="F27" s="12" t="s">
        <v>36</v>
      </c>
      <c r="G27" s="12" t="s">
        <v>41</v>
      </c>
    </row>
    <row r="28" ht="15.75" customHeight="1">
      <c r="A28" s="6" t="s">
        <v>23</v>
      </c>
      <c r="B28" s="6">
        <f>COUNTIF(Checklist!$B$2:$B$196,$A28)</f>
        <v>12</v>
      </c>
      <c r="C28" s="6">
        <f>COUNTIFS(Checklist!$B$2:$B$196,$A28,Checklist!$F$2:$F$196,"Pass")</f>
        <v>12</v>
      </c>
      <c r="D28" s="6">
        <f>COUNTIFS(Checklist!$B$2:$B$196,$A28,Checklist!$F$2:$F$196,"Fail")</f>
        <v>0</v>
      </c>
      <c r="E28" s="6">
        <f>COUNTIFS(Checklist!$B$2:$B$196,$A28,Checklist!$F$2:$F$196,"Blocked")</f>
        <v>0</v>
      </c>
      <c r="F28" s="6">
        <f>COUNTIFS(Checklist!$B$2:$B$196,$A28,Checklist!$F$2:$F$196,"Not started")</f>
        <v>0</v>
      </c>
      <c r="G28" s="14">
        <f t="shared" ref="G28:G51" si="1">IF(B28=0,0,C28/B28)</f>
        <v>1</v>
      </c>
    </row>
    <row r="29" ht="15.75" customHeight="1">
      <c r="A29" s="6" t="s">
        <v>220</v>
      </c>
      <c r="B29" s="6">
        <f>COUNTIF(Checklist!$B$2:$B$196,$A29)</f>
        <v>6</v>
      </c>
      <c r="C29" s="6">
        <f>COUNTIFS(Checklist!$B$2:$B$196,$A29,Checklist!$F$2:$F$196,"Pass")</f>
        <v>4</v>
      </c>
      <c r="D29" s="6">
        <f>COUNTIFS(Checklist!$B$2:$B$196,$A29,Checklist!$F$2:$F$196,"Fail")</f>
        <v>0</v>
      </c>
      <c r="E29" s="6">
        <f>COUNTIFS(Checklist!$B$2:$B$196,$A29,Checklist!$F$2:$F$196,"Blocked")</f>
        <v>0</v>
      </c>
      <c r="F29" s="6">
        <f>COUNTIFS(Checklist!$B$2:$B$196,$A29,Checklist!$F$2:$F$196,"Not started")</f>
        <v>2</v>
      </c>
      <c r="G29" s="14">
        <f t="shared" si="1"/>
        <v>0.6666666667</v>
      </c>
    </row>
    <row r="30" ht="15.75" customHeight="1">
      <c r="A30" s="6" t="s">
        <v>261</v>
      </c>
      <c r="B30" s="6">
        <f>COUNTIF(Checklist!$B$2:$B$196,$A30)</f>
        <v>7</v>
      </c>
      <c r="C30" s="6">
        <f>COUNTIFS(Checklist!$B$2:$B$196,$A30,Checklist!$F$2:$F$196,"Pass")</f>
        <v>0</v>
      </c>
      <c r="D30" s="6">
        <f>COUNTIFS(Checklist!$B$2:$B$196,$A30,Checklist!$F$2:$F$196,"Fail")</f>
        <v>0</v>
      </c>
      <c r="E30" s="6">
        <f>COUNTIFS(Checklist!$B$2:$B$196,$A30,Checklist!$F$2:$F$196,"Blocked")</f>
        <v>0</v>
      </c>
      <c r="F30" s="6">
        <f>COUNTIFS(Checklist!$B$2:$B$196,$A30,Checklist!$F$2:$F$196,"Not started")</f>
        <v>7</v>
      </c>
      <c r="G30" s="14">
        <f t="shared" si="1"/>
        <v>0</v>
      </c>
    </row>
    <row r="31" ht="15.75" customHeight="1">
      <c r="A31" s="6" t="s">
        <v>46</v>
      </c>
      <c r="B31" s="6">
        <f>COUNTIF(Checklist!$B$2:$B$196,$A31)</f>
        <v>14</v>
      </c>
      <c r="C31" s="6">
        <f>COUNTIFS(Checklist!$B$2:$B$196,$A31,Checklist!$F$2:$F$196,"Pass")</f>
        <v>10</v>
      </c>
      <c r="D31" s="6">
        <f>COUNTIFS(Checklist!$B$2:$B$196,$A31,Checklist!$F$2:$F$196,"Fail")</f>
        <v>2</v>
      </c>
      <c r="E31" s="6">
        <f>COUNTIFS(Checklist!$B$2:$B$196,$A31,Checklist!$F$2:$F$196,"Blocked")</f>
        <v>0</v>
      </c>
      <c r="F31" s="6">
        <f>COUNTIFS(Checklist!$B$2:$B$196,$A31,Checklist!$F$2:$F$196,"Not started")</f>
        <v>2</v>
      </c>
      <c r="G31" s="14">
        <f t="shared" si="1"/>
        <v>0.7142857143</v>
      </c>
    </row>
    <row r="32" ht="15.75" customHeight="1">
      <c r="A32" s="6" t="s">
        <v>58</v>
      </c>
      <c r="B32" s="6">
        <f>COUNTIF(Checklist!$B$2:$B$196,$A32)</f>
        <v>10</v>
      </c>
      <c r="C32" s="6">
        <f>COUNTIFS(Checklist!$B$2:$B$196,$A32,Checklist!$F$2:$F$196,"Pass")</f>
        <v>2</v>
      </c>
      <c r="D32" s="6">
        <f>COUNTIFS(Checklist!$B$2:$B$196,$A32,Checklist!$F$2:$F$196,"Fail")</f>
        <v>0</v>
      </c>
      <c r="E32" s="6">
        <f>COUNTIFS(Checklist!$B$2:$B$196,$A32,Checklist!$F$2:$F$196,"Blocked")</f>
        <v>2</v>
      </c>
      <c r="F32" s="6">
        <f>COUNTIFS(Checklist!$B$2:$B$196,$A32,Checklist!$F$2:$F$196,"Not started")</f>
        <v>6</v>
      </c>
      <c r="G32" s="14">
        <f t="shared" si="1"/>
        <v>0.2</v>
      </c>
    </row>
    <row r="33" ht="15.75" customHeight="1">
      <c r="A33" s="6" t="s">
        <v>184</v>
      </c>
      <c r="B33" s="6">
        <f>COUNTIF(Checklist!$B$2:$B$196,$A33)</f>
        <v>7</v>
      </c>
      <c r="C33" s="6">
        <f>COUNTIFS(Checklist!$B$2:$B$196,$A33,Checklist!$F$2:$F$196,"Pass")</f>
        <v>2</v>
      </c>
      <c r="D33" s="6">
        <f>COUNTIFS(Checklist!$B$2:$B$196,$A33,Checklist!$F$2:$F$196,"Fail")</f>
        <v>0</v>
      </c>
      <c r="E33" s="6">
        <f>COUNTIFS(Checklist!$B$2:$B$196,$A33,Checklist!$F$2:$F$196,"Blocked")</f>
        <v>0</v>
      </c>
      <c r="F33" s="6">
        <f>COUNTIFS(Checklist!$B$2:$B$196,$A33,Checklist!$F$2:$F$196,"Not started")</f>
        <v>5</v>
      </c>
      <c r="G33" s="14">
        <f t="shared" si="1"/>
        <v>0.2857142857</v>
      </c>
    </row>
    <row r="34" ht="15.75" customHeight="1">
      <c r="A34" s="6" t="s">
        <v>66</v>
      </c>
      <c r="B34" s="6">
        <f>COUNTIF(Checklist!$B$2:$B$196,$A34)</f>
        <v>7</v>
      </c>
      <c r="C34" s="6">
        <f>COUNTIFS(Checklist!$B$2:$B$196,$A34,Checklist!$F$2:$F$196,"Pass")</f>
        <v>3</v>
      </c>
      <c r="D34" s="6">
        <f>COUNTIFS(Checklist!$B$2:$B$196,$A34,Checklist!$F$2:$F$196,"Fail")</f>
        <v>0</v>
      </c>
      <c r="E34" s="6">
        <f>COUNTIFS(Checklist!$B$2:$B$196,$A34,Checklist!$F$2:$F$196,"Blocked")</f>
        <v>0</v>
      </c>
      <c r="F34" s="6">
        <f>COUNTIFS(Checklist!$B$2:$B$196,$A34,Checklist!$F$2:$F$196,"Not started")</f>
        <v>4</v>
      </c>
      <c r="G34" s="14">
        <f t="shared" si="1"/>
        <v>0.4285714286</v>
      </c>
    </row>
    <row r="35" ht="15.75" customHeight="1">
      <c r="A35" s="6" t="s">
        <v>74</v>
      </c>
      <c r="B35" s="6">
        <f>COUNTIF(Checklist!$B$2:$B$196,$A35)</f>
        <v>11</v>
      </c>
      <c r="C35" s="6">
        <f>COUNTIFS(Checklist!$B$2:$B$196,$A35,Checklist!$F$2:$F$196,"Pass")</f>
        <v>6</v>
      </c>
      <c r="D35" s="6">
        <f>COUNTIFS(Checklist!$B$2:$B$196,$A35,Checklist!$F$2:$F$196,"Fail")</f>
        <v>0</v>
      </c>
      <c r="E35" s="6">
        <f>COUNTIFS(Checklist!$B$2:$B$196,$A35,Checklist!$F$2:$F$196,"Blocked")</f>
        <v>1</v>
      </c>
      <c r="F35" s="6">
        <f>COUNTIFS(Checklist!$B$2:$B$196,$A35,Checklist!$F$2:$F$196,"Not started")</f>
        <v>4</v>
      </c>
      <c r="G35" s="14">
        <f t="shared" si="1"/>
        <v>0.5454545455</v>
      </c>
    </row>
    <row r="36" ht="15.75" customHeight="1">
      <c r="A36" s="6" t="s">
        <v>402</v>
      </c>
      <c r="B36" s="6">
        <f>COUNTIF(Checklist!$B$2:$B$196,$A36)</f>
        <v>11</v>
      </c>
      <c r="C36" s="6">
        <f>COUNTIFS(Checklist!$B$2:$B$196,$A36,Checklist!$F$2:$F$196,"Pass")</f>
        <v>0</v>
      </c>
      <c r="D36" s="6">
        <f>COUNTIFS(Checklist!$B$2:$B$196,$A36,Checklist!$F$2:$F$196,"Fail")</f>
        <v>0</v>
      </c>
      <c r="E36" s="6">
        <f>COUNTIFS(Checklist!$B$2:$B$196,$A36,Checklist!$F$2:$F$196,"Blocked")</f>
        <v>0</v>
      </c>
      <c r="F36" s="6">
        <f>COUNTIFS(Checklist!$B$2:$B$196,$A36,Checklist!$F$2:$F$196,"Not started")</f>
        <v>11</v>
      </c>
      <c r="G36" s="14">
        <f t="shared" si="1"/>
        <v>0</v>
      </c>
    </row>
    <row r="37" ht="15.75" customHeight="1">
      <c r="A37" s="6" t="s">
        <v>98</v>
      </c>
      <c r="B37" s="6">
        <f>COUNTIF(Checklist!$B$2:$B$196,$A37)</f>
        <v>11</v>
      </c>
      <c r="C37" s="6">
        <f>COUNTIFS(Checklist!$B$2:$B$196,$A37,Checklist!$F$2:$F$196,"Pass")</f>
        <v>8</v>
      </c>
      <c r="D37" s="6">
        <f>COUNTIFS(Checklist!$B$2:$B$196,$A37,Checklist!$F$2:$F$196,"Fail")</f>
        <v>0</v>
      </c>
      <c r="E37" s="6">
        <f>COUNTIFS(Checklist!$B$2:$B$196,$A37,Checklist!$F$2:$F$196,"Blocked")</f>
        <v>1</v>
      </c>
      <c r="F37" s="6">
        <f>COUNTIFS(Checklist!$B$2:$B$196,$A37,Checklist!$F$2:$F$196,"Not started")</f>
        <v>2</v>
      </c>
      <c r="G37" s="14">
        <f t="shared" si="1"/>
        <v>0.7272727273</v>
      </c>
    </row>
    <row r="38" ht="15.75" customHeight="1">
      <c r="A38" s="6" t="s">
        <v>127</v>
      </c>
      <c r="B38" s="6">
        <f>COUNTIF(Checklist!$B$2:$B$196,$A38)</f>
        <v>9</v>
      </c>
      <c r="C38" s="6">
        <f>COUNTIFS(Checklist!$B$2:$B$196,$A38,Checklist!$F$2:$F$196,"Pass")</f>
        <v>2</v>
      </c>
      <c r="D38" s="6">
        <f>COUNTIFS(Checklist!$B$2:$B$196,$A38,Checklist!$F$2:$F$196,"Fail")</f>
        <v>0</v>
      </c>
      <c r="E38" s="6">
        <f>COUNTIFS(Checklist!$B$2:$B$196,$A38,Checklist!$F$2:$F$196,"Blocked")</f>
        <v>0</v>
      </c>
      <c r="F38" s="6">
        <f>COUNTIFS(Checklist!$B$2:$B$196,$A38,Checklist!$F$2:$F$196,"Not started")</f>
        <v>7</v>
      </c>
      <c r="G38" s="14">
        <f t="shared" si="1"/>
        <v>0.2222222222</v>
      </c>
    </row>
    <row r="39" ht="15.75" customHeight="1">
      <c r="A39" s="6" t="s">
        <v>463</v>
      </c>
      <c r="B39" s="6">
        <f>COUNTIF(Checklist!$B$2:$B$196,$A39)</f>
        <v>7</v>
      </c>
      <c r="C39" s="6">
        <f>COUNTIFS(Checklist!$B$2:$B$196,$A39,Checklist!$F$2:$F$196,"Pass")</f>
        <v>1</v>
      </c>
      <c r="D39" s="6">
        <f>COUNTIFS(Checklist!$B$2:$B$196,$A39,Checklist!$F$2:$F$196,"Fail")</f>
        <v>1</v>
      </c>
      <c r="E39" s="6">
        <f>COUNTIFS(Checklist!$B$2:$B$196,$A39,Checklist!$F$2:$F$196,"Blocked")</f>
        <v>0</v>
      </c>
      <c r="F39" s="6">
        <f>COUNTIFS(Checklist!$B$2:$B$196,$A39,Checklist!$F$2:$F$196,"Not started")</f>
        <v>5</v>
      </c>
      <c r="G39" s="14">
        <f t="shared" si="1"/>
        <v>0.1428571429</v>
      </c>
    </row>
    <row r="40" ht="15.75" customHeight="1">
      <c r="A40" s="6" t="s">
        <v>485</v>
      </c>
      <c r="B40" s="6">
        <f>COUNTIF(Checklist!$B$2:$B$196,$A40)</f>
        <v>14</v>
      </c>
      <c r="C40" s="6">
        <f>COUNTIFS(Checklist!$B$2:$B$196,$A40,Checklist!$F$2:$F$196,"Pass")</f>
        <v>0</v>
      </c>
      <c r="D40" s="6">
        <f>COUNTIFS(Checklist!$B$2:$B$196,$A40,Checklist!$F$2:$F$196,"Fail")</f>
        <v>0</v>
      </c>
      <c r="E40" s="6">
        <f>COUNTIFS(Checklist!$B$2:$B$196,$A40,Checklist!$F$2:$F$196,"Blocked")</f>
        <v>0</v>
      </c>
      <c r="F40" s="6">
        <f>COUNTIFS(Checklist!$B$2:$B$196,$A40,Checklist!$F$2:$F$196,"Not started")</f>
        <v>14</v>
      </c>
      <c r="G40" s="14">
        <f t="shared" si="1"/>
        <v>0</v>
      </c>
    </row>
    <row r="41" ht="15.75" customHeight="1">
      <c r="A41" s="6" t="s">
        <v>525</v>
      </c>
      <c r="B41" s="6">
        <f>COUNTIF(Checklist!$B$2:$B$196,$A41)</f>
        <v>9</v>
      </c>
      <c r="C41" s="6">
        <f>COUNTIFS(Checklist!$B$2:$B$196,$A41,Checklist!$F$2:$F$196,"Pass")</f>
        <v>0</v>
      </c>
      <c r="D41" s="6">
        <f>COUNTIFS(Checklist!$B$2:$B$196,$A41,Checklist!$F$2:$F$196,"Fail")</f>
        <v>0</v>
      </c>
      <c r="E41" s="6">
        <f>COUNTIFS(Checklist!$B$2:$B$196,$A41,Checklist!$F$2:$F$196,"Blocked")</f>
        <v>0</v>
      </c>
      <c r="F41" s="6">
        <f>COUNTIFS(Checklist!$B$2:$B$196,$A41,Checklist!$F$2:$F$196,"Not started")</f>
        <v>9</v>
      </c>
      <c r="G41" s="14">
        <f t="shared" si="1"/>
        <v>0</v>
      </c>
    </row>
    <row r="42" ht="15.75" customHeight="1">
      <c r="A42" s="6" t="s">
        <v>132</v>
      </c>
      <c r="B42" s="6">
        <f>COUNTIF(Checklist!$B$2:$B$196,$A42)</f>
        <v>11</v>
      </c>
      <c r="C42" s="6">
        <f>COUNTIFS(Checklist!$B$2:$B$196,$A42,Checklist!$F$2:$F$196,"Pass")</f>
        <v>1</v>
      </c>
      <c r="D42" s="6">
        <f>COUNTIFS(Checklist!$B$2:$B$196,$A42,Checklist!$F$2:$F$196,"Fail")</f>
        <v>0</v>
      </c>
      <c r="E42" s="6">
        <f>COUNTIFS(Checklist!$B$2:$B$196,$A42,Checklist!$F$2:$F$196,"Blocked")</f>
        <v>0</v>
      </c>
      <c r="F42" s="6">
        <f>COUNTIFS(Checklist!$B$2:$B$196,$A42,Checklist!$F$2:$F$196,"Not started")</f>
        <v>10</v>
      </c>
      <c r="G42" s="14">
        <f t="shared" si="1"/>
        <v>0.09090909091</v>
      </c>
    </row>
    <row r="43" ht="15.75" customHeight="1">
      <c r="A43" s="6" t="s">
        <v>197</v>
      </c>
      <c r="B43" s="6">
        <f>COUNTIF(Checklist!$B$2:$B$196,$A43)</f>
        <v>9</v>
      </c>
      <c r="C43" s="6">
        <f>COUNTIFS(Checklist!$B$2:$B$196,$A43,Checklist!$F$2:$F$196,"Pass")</f>
        <v>3</v>
      </c>
      <c r="D43" s="6">
        <f>COUNTIFS(Checklist!$B$2:$B$196,$A43,Checklist!$F$2:$F$196,"Fail")</f>
        <v>0</v>
      </c>
      <c r="E43" s="6">
        <f>COUNTIFS(Checklist!$B$2:$B$196,$A43,Checklist!$F$2:$F$196,"Blocked")</f>
        <v>0</v>
      </c>
      <c r="F43" s="6">
        <f>COUNTIFS(Checklist!$B$2:$B$196,$A43,Checklist!$F$2:$F$196,"Not started")</f>
        <v>6</v>
      </c>
      <c r="G43" s="14">
        <f t="shared" si="1"/>
        <v>0.3333333333</v>
      </c>
    </row>
    <row r="44" ht="15.75" customHeight="1">
      <c r="A44" s="6" t="s">
        <v>136</v>
      </c>
      <c r="B44" s="6">
        <f>COUNTIF(Checklist!$B$2:$B$196,$A44)</f>
        <v>7</v>
      </c>
      <c r="C44" s="6">
        <f>COUNTIFS(Checklist!$B$2:$B$196,$A44,Checklist!$F$2:$F$196,"Pass")</f>
        <v>4</v>
      </c>
      <c r="D44" s="6">
        <f>COUNTIFS(Checklist!$B$2:$B$196,$A44,Checklist!$F$2:$F$196,"Fail")</f>
        <v>1</v>
      </c>
      <c r="E44" s="6">
        <f>COUNTIFS(Checklist!$B$2:$B$196,$A44,Checklist!$F$2:$F$196,"Blocked")</f>
        <v>0</v>
      </c>
      <c r="F44" s="6">
        <f>COUNTIFS(Checklist!$B$2:$B$196,$A44,Checklist!$F$2:$F$196,"Not started")</f>
        <v>2</v>
      </c>
      <c r="G44" s="14">
        <f t="shared" si="1"/>
        <v>0.5714285714</v>
      </c>
    </row>
    <row r="45" ht="15.75" customHeight="1">
      <c r="A45" s="6" t="s">
        <v>253</v>
      </c>
      <c r="B45" s="6">
        <f>COUNTIF(Checklist!$B$2:$B$196,$A45)</f>
        <v>3</v>
      </c>
      <c r="C45" s="6">
        <f>COUNTIFS(Checklist!$B$2:$B$196,$A45,Checklist!$F$2:$F$196,"Pass")</f>
        <v>2</v>
      </c>
      <c r="D45" s="6">
        <f>COUNTIFS(Checklist!$B$2:$B$196,$A45,Checklist!$F$2:$F$196,"Fail")</f>
        <v>0</v>
      </c>
      <c r="E45" s="6">
        <f>COUNTIFS(Checklist!$B$2:$B$196,$A45,Checklist!$F$2:$F$196,"Blocked")</f>
        <v>0</v>
      </c>
      <c r="F45" s="6">
        <f>COUNTIFS(Checklist!$B$2:$B$196,$A45,Checklist!$F$2:$F$196,"Not started")</f>
        <v>1</v>
      </c>
      <c r="G45" s="14">
        <f t="shared" si="1"/>
        <v>0.6666666667</v>
      </c>
    </row>
    <row r="46" ht="15.75" customHeight="1">
      <c r="A46" s="6" t="s">
        <v>606</v>
      </c>
      <c r="B46" s="6">
        <f>COUNTIF(Checklist!$B$2:$B$196,$A46)</f>
        <v>3</v>
      </c>
      <c r="C46" s="6">
        <f>COUNTIFS(Checklist!$B$2:$B$196,$A46,Checklist!$F$2:$F$196,"Pass")</f>
        <v>0</v>
      </c>
      <c r="D46" s="6">
        <f>COUNTIFS(Checklist!$B$2:$B$196,$A46,Checklist!$F$2:$F$196,"Fail")</f>
        <v>0</v>
      </c>
      <c r="E46" s="6">
        <f>COUNTIFS(Checklist!$B$2:$B$196,$A46,Checklist!$F$2:$F$196,"Blocked")</f>
        <v>0</v>
      </c>
      <c r="F46" s="6">
        <f>COUNTIFS(Checklist!$B$2:$B$196,$A46,Checklist!$F$2:$F$196,"Not started")</f>
        <v>3</v>
      </c>
      <c r="G46" s="14">
        <f t="shared" si="1"/>
        <v>0</v>
      </c>
    </row>
    <row r="47" ht="15.75" customHeight="1">
      <c r="A47" s="6" t="s">
        <v>193</v>
      </c>
      <c r="B47" s="6">
        <f>COUNTIF(Checklist!$B$2:$B$196,$A47)</f>
        <v>5</v>
      </c>
      <c r="C47" s="6">
        <f>COUNTIFS(Checklist!$B$2:$B$196,$A47,Checklist!$F$2:$F$196,"Pass")</f>
        <v>1</v>
      </c>
      <c r="D47" s="6">
        <f>COUNTIFS(Checklist!$B$2:$B$196,$A47,Checklist!$F$2:$F$196,"Fail")</f>
        <v>0</v>
      </c>
      <c r="E47" s="6">
        <f>COUNTIFS(Checklist!$B$2:$B$196,$A47,Checklist!$F$2:$F$196,"Blocked")</f>
        <v>0</v>
      </c>
      <c r="F47" s="6">
        <f>COUNTIFS(Checklist!$B$2:$B$196,$A47,Checklist!$F$2:$F$196,"Not started")</f>
        <v>4</v>
      </c>
      <c r="G47" s="14">
        <f t="shared" si="1"/>
        <v>0.2</v>
      </c>
    </row>
    <row r="48" ht="15.75" customHeight="1">
      <c r="A48" s="6" t="s">
        <v>140</v>
      </c>
      <c r="B48" s="6">
        <f>COUNTIF(Checklist!$B$2:$B$196,$A48)</f>
        <v>9</v>
      </c>
      <c r="C48" s="6">
        <f>COUNTIFS(Checklist!$B$2:$B$196,$A48,Checklist!$F$2:$F$196,"Pass")</f>
        <v>2</v>
      </c>
      <c r="D48" s="6">
        <f>COUNTIFS(Checklist!$B$2:$B$196,$A48,Checklist!$F$2:$F$196,"Fail")</f>
        <v>0</v>
      </c>
      <c r="E48" s="6">
        <f>COUNTIFS(Checklist!$B$2:$B$196,$A48,Checklist!$F$2:$F$196,"Blocked")</f>
        <v>3</v>
      </c>
      <c r="F48" s="6">
        <f>COUNTIFS(Checklist!$B$2:$B$196,$A48,Checklist!$F$2:$F$196,"Not started")</f>
        <v>4</v>
      </c>
      <c r="G48" s="14">
        <f t="shared" si="1"/>
        <v>0.2222222222</v>
      </c>
    </row>
    <row r="49" ht="15.75" customHeight="1">
      <c r="A49" s="6" t="s">
        <v>156</v>
      </c>
      <c r="B49" s="6">
        <f>COUNTIF(Checklist!$B$2:$B$196,$A49)</f>
        <v>4</v>
      </c>
      <c r="C49" s="6">
        <f>COUNTIFS(Checklist!$B$2:$B$196,$A49,Checklist!$F$2:$F$196,"Pass")</f>
        <v>2</v>
      </c>
      <c r="D49" s="6">
        <f>COUNTIFS(Checklist!$B$2:$B$196,$A49,Checklist!$F$2:$F$196,"Fail")</f>
        <v>0</v>
      </c>
      <c r="E49" s="6">
        <f>COUNTIFS(Checklist!$B$2:$B$196,$A49,Checklist!$F$2:$F$196,"Blocked")</f>
        <v>0</v>
      </c>
      <c r="F49" s="6">
        <f>COUNTIFS(Checklist!$B$2:$B$196,$A49,Checklist!$F$2:$F$196,"Not started")</f>
        <v>2</v>
      </c>
      <c r="G49" s="14">
        <f t="shared" si="1"/>
        <v>0.5</v>
      </c>
    </row>
    <row r="50" ht="15.75" customHeight="1">
      <c r="A50" s="6" t="s">
        <v>163</v>
      </c>
      <c r="B50" s="6">
        <f>COUNTIF(Checklist!$B$2:$B$196,$A50)</f>
        <v>5</v>
      </c>
      <c r="C50" s="6">
        <f>COUNTIFS(Checklist!$B$2:$B$196,$A50,Checklist!$F$2:$F$196,"Pass")</f>
        <v>1</v>
      </c>
      <c r="D50" s="6">
        <f>COUNTIFS(Checklist!$B$2:$B$196,$A50,Checklist!$F$2:$F$196,"Fail")</f>
        <v>0</v>
      </c>
      <c r="E50" s="6">
        <f>COUNTIFS(Checklist!$B$2:$B$196,$A50,Checklist!$F$2:$F$196,"Blocked")</f>
        <v>0</v>
      </c>
      <c r="F50" s="6">
        <f>COUNTIFS(Checklist!$B$2:$B$196,$A50,Checklist!$F$2:$F$196,"Not started")</f>
        <v>4</v>
      </c>
      <c r="G50" s="14">
        <f t="shared" si="1"/>
        <v>0.2</v>
      </c>
    </row>
    <row r="51" ht="15.75" customHeight="1">
      <c r="A51" s="6" t="s">
        <v>260</v>
      </c>
      <c r="B51" s="6">
        <f>COUNTIF(Checklist!$B$2:$B$196,$A51)</f>
        <v>4</v>
      </c>
      <c r="C51" s="6">
        <f>COUNTIFS(Checklist!$B$2:$B$196,$A51,Checklist!$F$2:$F$196,"Pass")</f>
        <v>4</v>
      </c>
      <c r="D51" s="6">
        <f>COUNTIFS(Checklist!$B$2:$B$196,$A51,Checklist!$F$2:$F$196,"Fail")</f>
        <v>0</v>
      </c>
      <c r="E51" s="6">
        <f>COUNTIFS(Checklist!$B$2:$B$196,$A51,Checklist!$F$2:$F$196,"Blocked")</f>
        <v>0</v>
      </c>
      <c r="F51" s="6">
        <f>COUNTIFS(Checklist!$B$2:$B$196,$A51,Checklist!$F$2:$F$196,"Not started")</f>
        <v>0</v>
      </c>
      <c r="G51" s="14">
        <f t="shared" si="1"/>
        <v>1</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25">
    <cfRule type="cellIs" dxfId="4" priority="1" operator="equal">
      <formula>"CLEAR"</formula>
    </cfRule>
  </conditionalFormatting>
  <conditionalFormatting sqref="B25">
    <cfRule type="cellIs" dxfId="5" priority="2" operator="equal">
      <formula>"NOT CLEAR"</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9.0"/>
    <col customWidth="1" min="2" max="2" width="24.0"/>
    <col customWidth="1" min="3" max="3" width="9.0"/>
    <col customWidth="1" min="4" max="4" width="52.0"/>
    <col customWidth="1" min="5" max="5" width="48.0"/>
    <col customWidth="1" min="6" max="7" width="14.0"/>
    <col customWidth="1" min="8" max="8" width="13.0"/>
    <col customWidth="1" min="9" max="9" width="36.0"/>
    <col customWidth="1" min="10" max="26" width="8.71"/>
  </cols>
  <sheetData>
    <row r="1">
      <c r="A1" s="7" t="s">
        <v>11</v>
      </c>
      <c r="B1" s="7" t="s">
        <v>13</v>
      </c>
      <c r="C1" s="7" t="s">
        <v>14</v>
      </c>
      <c r="D1" s="7" t="s">
        <v>15</v>
      </c>
      <c r="E1" s="7" t="s">
        <v>16</v>
      </c>
      <c r="F1" s="7" t="s">
        <v>17</v>
      </c>
      <c r="G1" s="7" t="s">
        <v>18</v>
      </c>
      <c r="H1" s="7" t="s">
        <v>19</v>
      </c>
      <c r="I1" s="7" t="s">
        <v>20</v>
      </c>
    </row>
    <row r="2">
      <c r="A2" s="8" t="s">
        <v>21</v>
      </c>
      <c r="B2" s="8" t="s">
        <v>23</v>
      </c>
      <c r="C2" s="8" t="s">
        <v>24</v>
      </c>
      <c r="D2" s="8" t="s">
        <v>25</v>
      </c>
      <c r="E2" s="8" t="s">
        <v>26</v>
      </c>
      <c r="F2" s="9" t="s">
        <v>12</v>
      </c>
      <c r="G2" s="9" t="s">
        <v>27</v>
      </c>
      <c r="H2" s="10">
        <v>46152.0</v>
      </c>
      <c r="I2" s="9" t="s">
        <v>29</v>
      </c>
    </row>
    <row r="3">
      <c r="A3" s="8" t="s">
        <v>30</v>
      </c>
      <c r="B3" s="8" t="s">
        <v>23</v>
      </c>
      <c r="C3" s="8" t="s">
        <v>24</v>
      </c>
      <c r="D3" s="8" t="s">
        <v>31</v>
      </c>
      <c r="E3" s="8" t="s">
        <v>32</v>
      </c>
      <c r="F3" s="9" t="s">
        <v>12</v>
      </c>
      <c r="G3" s="9" t="s">
        <v>27</v>
      </c>
      <c r="H3" s="10">
        <v>46152.0</v>
      </c>
      <c r="I3" s="8"/>
    </row>
    <row r="4">
      <c r="A4" s="8" t="s">
        <v>33</v>
      </c>
      <c r="B4" s="8" t="s">
        <v>23</v>
      </c>
      <c r="C4" s="8" t="s">
        <v>24</v>
      </c>
      <c r="D4" s="8" t="s">
        <v>34</v>
      </c>
      <c r="E4" s="8" t="s">
        <v>35</v>
      </c>
      <c r="F4" s="9" t="s">
        <v>12</v>
      </c>
      <c r="G4" s="9" t="s">
        <v>27</v>
      </c>
      <c r="H4" s="10">
        <v>46152.0</v>
      </c>
      <c r="I4" s="8"/>
    </row>
    <row r="5">
      <c r="A5" s="8" t="s">
        <v>37</v>
      </c>
      <c r="B5" s="8" t="s">
        <v>23</v>
      </c>
      <c r="C5" s="8" t="s">
        <v>24</v>
      </c>
      <c r="D5" s="8" t="s">
        <v>38</v>
      </c>
      <c r="E5" s="8" t="s">
        <v>39</v>
      </c>
      <c r="F5" s="9" t="s">
        <v>12</v>
      </c>
      <c r="G5" s="9" t="s">
        <v>27</v>
      </c>
      <c r="H5" s="10">
        <v>46152.0</v>
      </c>
      <c r="I5" s="8"/>
    </row>
    <row r="6">
      <c r="A6" s="8" t="s">
        <v>40</v>
      </c>
      <c r="B6" s="8" t="s">
        <v>23</v>
      </c>
      <c r="C6" s="8" t="s">
        <v>24</v>
      </c>
      <c r="D6" s="8" t="s">
        <v>42</v>
      </c>
      <c r="E6" s="8" t="s">
        <v>43</v>
      </c>
      <c r="F6" s="9" t="s">
        <v>12</v>
      </c>
      <c r="G6" s="9" t="s">
        <v>27</v>
      </c>
      <c r="H6" s="10">
        <v>46152.0</v>
      </c>
      <c r="I6" s="9" t="s">
        <v>44</v>
      </c>
    </row>
    <row r="7">
      <c r="A7" s="8" t="s">
        <v>45</v>
      </c>
      <c r="B7" s="8" t="s">
        <v>46</v>
      </c>
      <c r="C7" s="8" t="s">
        <v>24</v>
      </c>
      <c r="D7" s="8" t="s">
        <v>47</v>
      </c>
      <c r="E7" s="8" t="s">
        <v>48</v>
      </c>
      <c r="F7" s="9" t="s">
        <v>12</v>
      </c>
      <c r="G7" s="9" t="s">
        <v>27</v>
      </c>
      <c r="H7" s="10">
        <v>46152.0</v>
      </c>
      <c r="I7" s="8"/>
    </row>
    <row r="8">
      <c r="A8" s="8" t="s">
        <v>49</v>
      </c>
      <c r="B8" s="8" t="s">
        <v>46</v>
      </c>
      <c r="C8" s="8" t="s">
        <v>24</v>
      </c>
      <c r="D8" s="8" t="s">
        <v>50</v>
      </c>
      <c r="E8" s="8" t="s">
        <v>51</v>
      </c>
      <c r="F8" s="9" t="s">
        <v>12</v>
      </c>
      <c r="G8" s="9" t="s">
        <v>27</v>
      </c>
      <c r="H8" s="10">
        <v>46152.0</v>
      </c>
      <c r="I8" s="8"/>
    </row>
    <row r="9">
      <c r="A9" s="8" t="s">
        <v>54</v>
      </c>
      <c r="B9" s="8" t="s">
        <v>46</v>
      </c>
      <c r="C9" s="8" t="s">
        <v>24</v>
      </c>
      <c r="D9" s="8" t="s">
        <v>55</v>
      </c>
      <c r="E9" s="8" t="s">
        <v>56</v>
      </c>
      <c r="F9" s="9" t="s">
        <v>12</v>
      </c>
      <c r="G9" s="9" t="s">
        <v>27</v>
      </c>
      <c r="H9" s="10">
        <v>46152.0</v>
      </c>
      <c r="I9" s="8"/>
    </row>
    <row r="10">
      <c r="A10" s="8" t="s">
        <v>57</v>
      </c>
      <c r="B10" s="8" t="s">
        <v>58</v>
      </c>
      <c r="C10" s="8" t="s">
        <v>24</v>
      </c>
      <c r="D10" s="8" t="s">
        <v>59</v>
      </c>
      <c r="E10" s="8" t="s">
        <v>60</v>
      </c>
      <c r="F10" s="9" t="s">
        <v>28</v>
      </c>
      <c r="G10" s="9" t="s">
        <v>27</v>
      </c>
      <c r="H10" s="10">
        <v>46152.0</v>
      </c>
      <c r="I10" s="9" t="s">
        <v>61</v>
      </c>
    </row>
    <row r="11">
      <c r="A11" s="8" t="s">
        <v>62</v>
      </c>
      <c r="B11" s="8" t="s">
        <v>58</v>
      </c>
      <c r="C11" s="8" t="s">
        <v>24</v>
      </c>
      <c r="D11" s="8" t="s">
        <v>63</v>
      </c>
      <c r="E11" s="8" t="s">
        <v>64</v>
      </c>
      <c r="F11" s="9" t="s">
        <v>28</v>
      </c>
      <c r="G11" s="9" t="s">
        <v>27</v>
      </c>
      <c r="H11" s="10">
        <v>46152.0</v>
      </c>
      <c r="I11" s="9" t="s">
        <v>61</v>
      </c>
    </row>
    <row r="12">
      <c r="A12" s="8" t="s">
        <v>65</v>
      </c>
      <c r="B12" s="8" t="s">
        <v>66</v>
      </c>
      <c r="C12" s="8" t="s">
        <v>24</v>
      </c>
      <c r="D12" s="8" t="s">
        <v>67</v>
      </c>
      <c r="E12" s="8" t="s">
        <v>68</v>
      </c>
      <c r="F12" s="9" t="s">
        <v>12</v>
      </c>
      <c r="G12" s="9" t="s">
        <v>69</v>
      </c>
      <c r="H12" s="10">
        <v>46152.0</v>
      </c>
      <c r="I12" s="8"/>
    </row>
    <row r="13">
      <c r="A13" s="8" t="s">
        <v>71</v>
      </c>
      <c r="B13" s="8" t="s">
        <v>66</v>
      </c>
      <c r="C13" s="8" t="s">
        <v>24</v>
      </c>
      <c r="D13" s="8" t="s">
        <v>72</v>
      </c>
      <c r="E13" s="8" t="s">
        <v>28</v>
      </c>
      <c r="F13" s="9" t="s">
        <v>12</v>
      </c>
      <c r="G13" s="9" t="s">
        <v>69</v>
      </c>
      <c r="H13" s="10">
        <v>46152.0</v>
      </c>
      <c r="I13" s="8"/>
    </row>
    <row r="14">
      <c r="A14" s="8" t="s">
        <v>73</v>
      </c>
      <c r="B14" s="8" t="s">
        <v>74</v>
      </c>
      <c r="C14" s="8" t="s">
        <v>24</v>
      </c>
      <c r="D14" s="8" t="s">
        <v>75</v>
      </c>
      <c r="E14" s="8" t="s">
        <v>76</v>
      </c>
      <c r="F14" s="9" t="s">
        <v>28</v>
      </c>
      <c r="G14" s="9" t="s">
        <v>69</v>
      </c>
      <c r="H14" s="10">
        <v>46152.0</v>
      </c>
      <c r="I14" s="9" t="s">
        <v>77</v>
      </c>
    </row>
    <row r="15">
      <c r="A15" s="8" t="s">
        <v>78</v>
      </c>
      <c r="B15" s="8" t="s">
        <v>74</v>
      </c>
      <c r="C15" s="8" t="s">
        <v>24</v>
      </c>
      <c r="D15" s="8" t="s">
        <v>79</v>
      </c>
      <c r="E15" s="8" t="s">
        <v>80</v>
      </c>
      <c r="F15" s="9" t="s">
        <v>12</v>
      </c>
      <c r="G15" s="9" t="s">
        <v>69</v>
      </c>
      <c r="H15" s="10">
        <v>46152.0</v>
      </c>
      <c r="I15" s="8"/>
    </row>
    <row r="16">
      <c r="A16" s="8" t="s">
        <v>81</v>
      </c>
      <c r="B16" s="8" t="s">
        <v>74</v>
      </c>
      <c r="C16" s="8" t="s">
        <v>24</v>
      </c>
      <c r="D16" s="8" t="s">
        <v>82</v>
      </c>
      <c r="E16" s="8" t="s">
        <v>83</v>
      </c>
      <c r="F16" s="9" t="s">
        <v>12</v>
      </c>
      <c r="G16" s="9" t="s">
        <v>69</v>
      </c>
      <c r="H16" s="10">
        <v>46152.0</v>
      </c>
      <c r="I16" s="8"/>
    </row>
    <row r="17">
      <c r="A17" s="8" t="s">
        <v>84</v>
      </c>
      <c r="B17" s="8" t="s">
        <v>74</v>
      </c>
      <c r="C17" s="8" t="s">
        <v>24</v>
      </c>
      <c r="D17" s="8" t="s">
        <v>85</v>
      </c>
      <c r="E17" s="8" t="s">
        <v>86</v>
      </c>
      <c r="F17" s="9" t="s">
        <v>12</v>
      </c>
      <c r="G17" s="9" t="s">
        <v>69</v>
      </c>
      <c r="H17" s="10">
        <v>46152.0</v>
      </c>
      <c r="I17" s="8"/>
    </row>
    <row r="18">
      <c r="A18" s="8" t="s">
        <v>87</v>
      </c>
      <c r="B18" s="8" t="s">
        <v>74</v>
      </c>
      <c r="C18" s="8" t="s">
        <v>24</v>
      </c>
      <c r="D18" s="8" t="s">
        <v>88</v>
      </c>
      <c r="E18" s="8" t="s">
        <v>89</v>
      </c>
      <c r="F18" s="9" t="s">
        <v>12</v>
      </c>
      <c r="G18" s="9" t="s">
        <v>69</v>
      </c>
      <c r="H18" s="10">
        <v>46152.0</v>
      </c>
      <c r="I18" s="8"/>
    </row>
    <row r="19">
      <c r="A19" s="8" t="s">
        <v>90</v>
      </c>
      <c r="B19" s="8" t="s">
        <v>74</v>
      </c>
      <c r="C19" s="8" t="s">
        <v>24</v>
      </c>
      <c r="D19" s="8" t="s">
        <v>91</v>
      </c>
      <c r="E19" s="8" t="s">
        <v>93</v>
      </c>
      <c r="F19" s="9" t="s">
        <v>12</v>
      </c>
      <c r="G19" s="9" t="s">
        <v>69</v>
      </c>
      <c r="H19" s="10">
        <v>46152.0</v>
      </c>
      <c r="I19" s="8"/>
    </row>
    <row r="20">
      <c r="A20" s="8" t="s">
        <v>94</v>
      </c>
      <c r="B20" s="8" t="s">
        <v>74</v>
      </c>
      <c r="C20" s="8" t="s">
        <v>24</v>
      </c>
      <c r="D20" s="8" t="s">
        <v>95</v>
      </c>
      <c r="E20" s="8" t="s">
        <v>96</v>
      </c>
      <c r="F20" s="9" t="s">
        <v>12</v>
      </c>
      <c r="G20" s="9" t="s">
        <v>69</v>
      </c>
      <c r="H20" s="10">
        <v>46152.0</v>
      </c>
      <c r="I20" s="8"/>
    </row>
    <row r="21" ht="15.75" customHeight="1">
      <c r="A21" s="8" t="s">
        <v>97</v>
      </c>
      <c r="B21" s="8" t="s">
        <v>98</v>
      </c>
      <c r="C21" s="8" t="s">
        <v>24</v>
      </c>
      <c r="D21" s="8" t="s">
        <v>99</v>
      </c>
      <c r="E21" s="8" t="s">
        <v>100</v>
      </c>
      <c r="F21" s="9" t="s">
        <v>12</v>
      </c>
      <c r="G21" s="9" t="s">
        <v>69</v>
      </c>
      <c r="H21" s="10">
        <v>46152.0</v>
      </c>
      <c r="I21" s="8"/>
    </row>
    <row r="22" ht="15.75" customHeight="1">
      <c r="A22" s="8" t="s">
        <v>101</v>
      </c>
      <c r="B22" s="8" t="s">
        <v>98</v>
      </c>
      <c r="C22" s="8" t="s">
        <v>24</v>
      </c>
      <c r="D22" s="8" t="s">
        <v>102</v>
      </c>
      <c r="E22" s="8" t="s">
        <v>103</v>
      </c>
      <c r="F22" s="9" t="s">
        <v>12</v>
      </c>
      <c r="G22" s="9" t="s">
        <v>69</v>
      </c>
      <c r="H22" s="10">
        <v>46152.0</v>
      </c>
      <c r="I22" s="8"/>
    </row>
    <row r="23" ht="15.75" customHeight="1">
      <c r="A23" s="8" t="s">
        <v>104</v>
      </c>
      <c r="B23" s="8" t="s">
        <v>98</v>
      </c>
      <c r="C23" s="8" t="s">
        <v>24</v>
      </c>
      <c r="D23" s="8" t="s">
        <v>106</v>
      </c>
      <c r="E23" s="8" t="s">
        <v>107</v>
      </c>
      <c r="F23" s="9" t="s">
        <v>12</v>
      </c>
      <c r="G23" s="9" t="s">
        <v>69</v>
      </c>
      <c r="H23" s="10">
        <v>46152.0</v>
      </c>
      <c r="I23" s="8"/>
    </row>
    <row r="24" ht="15.75" customHeight="1">
      <c r="A24" s="8" t="s">
        <v>108</v>
      </c>
      <c r="B24" s="8" t="s">
        <v>98</v>
      </c>
      <c r="C24" s="8" t="s">
        <v>24</v>
      </c>
      <c r="D24" s="8" t="s">
        <v>109</v>
      </c>
      <c r="E24" s="8" t="s">
        <v>110</v>
      </c>
      <c r="F24" s="9" t="s">
        <v>12</v>
      </c>
      <c r="G24" s="9" t="s">
        <v>69</v>
      </c>
      <c r="H24" s="10">
        <v>46152.0</v>
      </c>
      <c r="I24" s="8"/>
    </row>
    <row r="25" ht="15.75" customHeight="1">
      <c r="A25" s="8" t="s">
        <v>111</v>
      </c>
      <c r="B25" s="8" t="s">
        <v>98</v>
      </c>
      <c r="C25" s="8" t="s">
        <v>24</v>
      </c>
      <c r="D25" s="8" t="s">
        <v>112</v>
      </c>
      <c r="E25" s="8" t="s">
        <v>113</v>
      </c>
      <c r="F25" s="9" t="s">
        <v>28</v>
      </c>
      <c r="G25" s="9" t="s">
        <v>69</v>
      </c>
      <c r="H25" s="10">
        <v>46152.0</v>
      </c>
      <c r="I25" s="9" t="s">
        <v>114</v>
      </c>
    </row>
    <row r="26" ht="15.75" customHeight="1">
      <c r="A26" s="8" t="s">
        <v>115</v>
      </c>
      <c r="B26" s="8" t="s">
        <v>98</v>
      </c>
      <c r="C26" s="8" t="s">
        <v>24</v>
      </c>
      <c r="D26" s="8" t="s">
        <v>116</v>
      </c>
      <c r="E26" s="8" t="s">
        <v>117</v>
      </c>
      <c r="F26" s="9" t="s">
        <v>12</v>
      </c>
      <c r="G26" s="9" t="s">
        <v>69</v>
      </c>
      <c r="H26" s="10">
        <v>46152.0</v>
      </c>
      <c r="I26" s="8"/>
    </row>
    <row r="27" ht="15.75" customHeight="1">
      <c r="A27" s="8" t="s">
        <v>118</v>
      </c>
      <c r="B27" s="8" t="s">
        <v>98</v>
      </c>
      <c r="C27" s="8" t="s">
        <v>24</v>
      </c>
      <c r="D27" s="8" t="s">
        <v>119</v>
      </c>
      <c r="E27" s="8" t="s">
        <v>120</v>
      </c>
      <c r="F27" s="9" t="s">
        <v>12</v>
      </c>
      <c r="G27" s="9" t="s">
        <v>69</v>
      </c>
      <c r="H27" s="10">
        <v>46152.0</v>
      </c>
      <c r="I27" s="8"/>
    </row>
    <row r="28" ht="15.75" customHeight="1">
      <c r="A28" s="8" t="s">
        <v>122</v>
      </c>
      <c r="B28" s="8" t="s">
        <v>98</v>
      </c>
      <c r="C28" s="8" t="s">
        <v>24</v>
      </c>
      <c r="D28" s="8" t="s">
        <v>123</v>
      </c>
      <c r="E28" s="8" t="s">
        <v>124</v>
      </c>
      <c r="F28" s="9" t="s">
        <v>12</v>
      </c>
      <c r="G28" s="9" t="s">
        <v>69</v>
      </c>
      <c r="H28" s="10">
        <v>46152.0</v>
      </c>
      <c r="I28" s="8"/>
    </row>
    <row r="29" ht="15.75" customHeight="1">
      <c r="A29" s="8" t="s">
        <v>126</v>
      </c>
      <c r="B29" s="8" t="s">
        <v>127</v>
      </c>
      <c r="C29" s="8" t="s">
        <v>128</v>
      </c>
      <c r="D29" s="8" t="s">
        <v>129</v>
      </c>
      <c r="E29" s="8" t="s">
        <v>130</v>
      </c>
      <c r="F29" s="9" t="s">
        <v>12</v>
      </c>
      <c r="G29" s="9" t="s">
        <v>69</v>
      </c>
      <c r="H29" s="10">
        <v>46152.0</v>
      </c>
      <c r="I29" s="8"/>
    </row>
    <row r="30" ht="15.75" customHeight="1">
      <c r="A30" s="8" t="s">
        <v>131</v>
      </c>
      <c r="B30" s="8" t="s">
        <v>132</v>
      </c>
      <c r="C30" s="8" t="s">
        <v>24</v>
      </c>
      <c r="D30" s="8" t="s">
        <v>133</v>
      </c>
      <c r="E30" s="8" t="s">
        <v>134</v>
      </c>
      <c r="F30" s="9" t="s">
        <v>12</v>
      </c>
      <c r="G30" s="9" t="s">
        <v>69</v>
      </c>
      <c r="H30" s="10">
        <v>46152.0</v>
      </c>
      <c r="I30" s="8"/>
    </row>
    <row r="31" ht="15.75" customHeight="1">
      <c r="A31" s="8" t="s">
        <v>135</v>
      </c>
      <c r="B31" s="8" t="s">
        <v>136</v>
      </c>
      <c r="C31" s="8" t="s">
        <v>24</v>
      </c>
      <c r="D31" s="8" t="s">
        <v>137</v>
      </c>
      <c r="E31" s="8" t="s">
        <v>138</v>
      </c>
      <c r="F31" s="9" t="s">
        <v>12</v>
      </c>
      <c r="G31" s="9" t="s">
        <v>27</v>
      </c>
      <c r="H31" s="10">
        <v>46152.0</v>
      </c>
      <c r="I31" s="8"/>
    </row>
    <row r="32" ht="15.75" customHeight="1">
      <c r="A32" s="8" t="s">
        <v>139</v>
      </c>
      <c r="B32" s="8" t="s">
        <v>140</v>
      </c>
      <c r="C32" s="8" t="s">
        <v>24</v>
      </c>
      <c r="D32" s="8" t="s">
        <v>141</v>
      </c>
      <c r="E32" s="8" t="s">
        <v>134</v>
      </c>
      <c r="F32" s="9" t="s">
        <v>12</v>
      </c>
      <c r="G32" s="9" t="s">
        <v>27</v>
      </c>
      <c r="H32" s="10">
        <v>46152.0</v>
      </c>
      <c r="I32" s="8"/>
    </row>
    <row r="33" ht="15.75" customHeight="1">
      <c r="A33" s="8" t="s">
        <v>142</v>
      </c>
      <c r="B33" s="8" t="s">
        <v>140</v>
      </c>
      <c r="C33" s="8" t="s">
        <v>24</v>
      </c>
      <c r="D33" s="8" t="s">
        <v>143</v>
      </c>
      <c r="E33" s="8" t="s">
        <v>144</v>
      </c>
      <c r="F33" s="9" t="s">
        <v>28</v>
      </c>
      <c r="G33" s="9" t="s">
        <v>27</v>
      </c>
      <c r="H33" s="10">
        <v>46152.0</v>
      </c>
      <c r="I33" s="9" t="s">
        <v>145</v>
      </c>
    </row>
    <row r="34" ht="15.75" customHeight="1">
      <c r="A34" s="8" t="s">
        <v>146</v>
      </c>
      <c r="B34" s="8" t="s">
        <v>140</v>
      </c>
      <c r="C34" s="8" t="s">
        <v>24</v>
      </c>
      <c r="D34" s="8" t="s">
        <v>147</v>
      </c>
      <c r="E34" s="8" t="s">
        <v>148</v>
      </c>
      <c r="F34" s="9" t="s">
        <v>28</v>
      </c>
      <c r="G34" s="9" t="s">
        <v>27</v>
      </c>
      <c r="H34" s="10">
        <v>46152.0</v>
      </c>
      <c r="I34" s="9" t="s">
        <v>145</v>
      </c>
    </row>
    <row r="35" ht="15.75" customHeight="1">
      <c r="A35" s="8" t="s">
        <v>149</v>
      </c>
      <c r="B35" s="8" t="s">
        <v>140</v>
      </c>
      <c r="C35" s="8" t="s">
        <v>24</v>
      </c>
      <c r="D35" s="8" t="s">
        <v>150</v>
      </c>
      <c r="E35" s="8" t="s">
        <v>151</v>
      </c>
      <c r="F35" s="9" t="s">
        <v>28</v>
      </c>
      <c r="G35" s="9" t="s">
        <v>27</v>
      </c>
      <c r="H35" s="10">
        <v>46152.0</v>
      </c>
      <c r="I35" s="9" t="s">
        <v>145</v>
      </c>
    </row>
    <row r="36" ht="15.75" customHeight="1">
      <c r="A36" s="8" t="s">
        <v>152</v>
      </c>
      <c r="B36" s="8" t="s">
        <v>140</v>
      </c>
      <c r="C36" s="8" t="s">
        <v>24</v>
      </c>
      <c r="D36" s="8" t="s">
        <v>153</v>
      </c>
      <c r="E36" s="8" t="s">
        <v>154</v>
      </c>
      <c r="F36" s="9" t="s">
        <v>12</v>
      </c>
      <c r="G36" s="9" t="s">
        <v>27</v>
      </c>
      <c r="H36" s="10">
        <v>46152.0</v>
      </c>
      <c r="I36" s="8"/>
    </row>
    <row r="37" ht="15.75" customHeight="1">
      <c r="A37" s="8" t="s">
        <v>155</v>
      </c>
      <c r="B37" s="8" t="s">
        <v>156</v>
      </c>
      <c r="C37" s="8" t="s">
        <v>24</v>
      </c>
      <c r="D37" s="8" t="s">
        <v>157</v>
      </c>
      <c r="E37" s="8" t="s">
        <v>158</v>
      </c>
      <c r="F37" s="9" t="s">
        <v>12</v>
      </c>
      <c r="G37" s="9" t="s">
        <v>27</v>
      </c>
      <c r="H37" s="10">
        <v>46152.0</v>
      </c>
      <c r="I37" s="8"/>
    </row>
    <row r="38" ht="15.75" customHeight="1">
      <c r="A38" s="8" t="s">
        <v>159</v>
      </c>
      <c r="B38" s="8" t="s">
        <v>156</v>
      </c>
      <c r="C38" s="8" t="s">
        <v>24</v>
      </c>
      <c r="D38" s="8" t="s">
        <v>160</v>
      </c>
      <c r="E38" s="8" t="s">
        <v>161</v>
      </c>
      <c r="F38" s="9" t="s">
        <v>12</v>
      </c>
      <c r="G38" s="9" t="s">
        <v>27</v>
      </c>
      <c r="H38" s="10">
        <v>46152.0</v>
      </c>
      <c r="I38" s="8"/>
    </row>
    <row r="39" ht="15.75" customHeight="1">
      <c r="A39" s="8" t="s">
        <v>162</v>
      </c>
      <c r="B39" s="8" t="s">
        <v>163</v>
      </c>
      <c r="C39" s="8" t="s">
        <v>24</v>
      </c>
      <c r="D39" s="8" t="s">
        <v>164</v>
      </c>
      <c r="E39" s="8" t="s">
        <v>165</v>
      </c>
      <c r="F39" s="9" t="s">
        <v>12</v>
      </c>
      <c r="G39" s="9" t="s">
        <v>27</v>
      </c>
      <c r="H39" s="10">
        <v>46244.0</v>
      </c>
      <c r="I39" s="9" t="s">
        <v>145</v>
      </c>
    </row>
    <row r="40" ht="15.75" customHeight="1">
      <c r="A40" s="8" t="s">
        <v>166</v>
      </c>
      <c r="B40" s="8" t="s">
        <v>23</v>
      </c>
      <c r="C40" s="8" t="s">
        <v>24</v>
      </c>
      <c r="D40" s="8" t="s">
        <v>167</v>
      </c>
      <c r="E40" s="8" t="s">
        <v>168</v>
      </c>
      <c r="F40" s="9" t="s">
        <v>12</v>
      </c>
      <c r="G40" s="9" t="s">
        <v>169</v>
      </c>
      <c r="H40" s="10">
        <v>46183.0</v>
      </c>
      <c r="I40" s="9" t="s">
        <v>170</v>
      </c>
    </row>
    <row r="41" ht="15.75" customHeight="1">
      <c r="A41" s="8" t="s">
        <v>171</v>
      </c>
      <c r="B41" s="8" t="s">
        <v>23</v>
      </c>
      <c r="C41" s="8" t="s">
        <v>128</v>
      </c>
      <c r="D41" s="8" t="s">
        <v>172</v>
      </c>
      <c r="E41" s="8" t="s">
        <v>173</v>
      </c>
      <c r="F41" s="9" t="s">
        <v>12</v>
      </c>
      <c r="G41" s="9" t="s">
        <v>174</v>
      </c>
      <c r="H41" s="10">
        <v>46183.0</v>
      </c>
      <c r="I41" s="9" t="s">
        <v>175</v>
      </c>
    </row>
    <row r="42" ht="15.75" customHeight="1">
      <c r="A42" s="8" t="s">
        <v>176</v>
      </c>
      <c r="B42" s="8" t="s">
        <v>23</v>
      </c>
      <c r="C42" s="8" t="s">
        <v>128</v>
      </c>
      <c r="D42" s="8" t="s">
        <v>177</v>
      </c>
      <c r="E42" s="8" t="s">
        <v>178</v>
      </c>
      <c r="F42" s="9" t="s">
        <v>12</v>
      </c>
      <c r="G42" s="9" t="s">
        <v>169</v>
      </c>
      <c r="H42" s="10">
        <v>46183.0</v>
      </c>
      <c r="I42" s="9" t="s">
        <v>175</v>
      </c>
    </row>
    <row r="43" ht="15.75" customHeight="1">
      <c r="A43" s="8" t="s">
        <v>179</v>
      </c>
      <c r="B43" s="8" t="s">
        <v>58</v>
      </c>
      <c r="C43" s="8" t="s">
        <v>24</v>
      </c>
      <c r="D43" s="8" t="s">
        <v>180</v>
      </c>
      <c r="E43" s="8" t="s">
        <v>181</v>
      </c>
      <c r="F43" s="9" t="s">
        <v>12</v>
      </c>
      <c r="G43" s="9" t="s">
        <v>27</v>
      </c>
      <c r="H43" s="10">
        <v>46183.0</v>
      </c>
      <c r="I43" s="9" t="s">
        <v>182</v>
      </c>
    </row>
    <row r="44" ht="15.75" customHeight="1">
      <c r="A44" s="8" t="s">
        <v>183</v>
      </c>
      <c r="B44" s="8" t="s">
        <v>184</v>
      </c>
      <c r="C44" s="8" t="s">
        <v>24</v>
      </c>
      <c r="D44" s="8" t="s">
        <v>185</v>
      </c>
      <c r="E44" s="8" t="s">
        <v>186</v>
      </c>
      <c r="F44" s="9" t="s">
        <v>12</v>
      </c>
      <c r="G44" s="9" t="s">
        <v>27</v>
      </c>
      <c r="H44" s="10">
        <v>46183.0</v>
      </c>
      <c r="I44" s="9" t="s">
        <v>187</v>
      </c>
    </row>
    <row r="45" ht="15.75" customHeight="1">
      <c r="A45" s="8" t="s">
        <v>188</v>
      </c>
      <c r="B45" s="8" t="s">
        <v>127</v>
      </c>
      <c r="C45" s="8" t="s">
        <v>24</v>
      </c>
      <c r="D45" s="8" t="s">
        <v>189</v>
      </c>
      <c r="E45" s="8" t="s">
        <v>190</v>
      </c>
      <c r="F45" s="9" t="s">
        <v>12</v>
      </c>
      <c r="G45" s="9" t="s">
        <v>69</v>
      </c>
      <c r="H45" s="10">
        <v>46183.0</v>
      </c>
      <c r="I45" s="9" t="s">
        <v>191</v>
      </c>
    </row>
    <row r="46" ht="15.75" customHeight="1">
      <c r="A46" s="8" t="s">
        <v>192</v>
      </c>
      <c r="B46" s="8" t="s">
        <v>193</v>
      </c>
      <c r="C46" s="8" t="s">
        <v>24</v>
      </c>
      <c r="D46" s="8" t="s">
        <v>194</v>
      </c>
      <c r="E46" s="8" t="s">
        <v>134</v>
      </c>
      <c r="F46" s="9" t="s">
        <v>12</v>
      </c>
      <c r="G46" s="9" t="s">
        <v>169</v>
      </c>
      <c r="H46" s="10">
        <v>46183.0</v>
      </c>
      <c r="I46" s="9" t="s">
        <v>195</v>
      </c>
    </row>
    <row r="47" ht="15.75" customHeight="1">
      <c r="A47" s="8" t="s">
        <v>196</v>
      </c>
      <c r="B47" s="8" t="s">
        <v>197</v>
      </c>
      <c r="C47" s="8" t="s">
        <v>128</v>
      </c>
      <c r="D47" s="8" t="s">
        <v>198</v>
      </c>
      <c r="E47" s="8" t="s">
        <v>199</v>
      </c>
      <c r="F47" s="9" t="s">
        <v>12</v>
      </c>
      <c r="G47" s="9" t="s">
        <v>200</v>
      </c>
      <c r="H47" s="10">
        <v>46213.0</v>
      </c>
      <c r="I47" s="9" t="s">
        <v>201</v>
      </c>
    </row>
    <row r="48" ht="15.75" customHeight="1">
      <c r="A48" s="8" t="s">
        <v>202</v>
      </c>
      <c r="B48" s="8" t="s">
        <v>197</v>
      </c>
      <c r="C48" s="8" t="s">
        <v>128</v>
      </c>
      <c r="D48" s="8" t="s">
        <v>203</v>
      </c>
      <c r="E48" s="8" t="s">
        <v>204</v>
      </c>
      <c r="F48" s="9" t="s">
        <v>12</v>
      </c>
      <c r="G48" s="9" t="s">
        <v>200</v>
      </c>
      <c r="H48" s="10">
        <v>46213.0</v>
      </c>
      <c r="I48" s="9" t="s">
        <v>205</v>
      </c>
    </row>
    <row r="49" ht="15.75" customHeight="1">
      <c r="A49" s="8" t="s">
        <v>206</v>
      </c>
      <c r="B49" s="8" t="s">
        <v>197</v>
      </c>
      <c r="C49" s="8" t="s">
        <v>128</v>
      </c>
      <c r="D49" s="8" t="s">
        <v>207</v>
      </c>
      <c r="E49" s="8" t="s">
        <v>208</v>
      </c>
      <c r="F49" s="9" t="s">
        <v>12</v>
      </c>
      <c r="G49" s="9" t="s">
        <v>209</v>
      </c>
      <c r="H49" s="10">
        <v>46213.0</v>
      </c>
      <c r="I49" s="8"/>
    </row>
    <row r="50" ht="15.75" customHeight="1">
      <c r="A50" s="8" t="s">
        <v>210</v>
      </c>
      <c r="B50" s="8" t="s">
        <v>23</v>
      </c>
      <c r="C50" s="8" t="s">
        <v>24</v>
      </c>
      <c r="D50" s="8" t="s">
        <v>211</v>
      </c>
      <c r="E50" s="8" t="s">
        <v>212</v>
      </c>
      <c r="F50" s="9" t="s">
        <v>12</v>
      </c>
      <c r="G50" s="9" t="s">
        <v>27</v>
      </c>
      <c r="H50" s="10">
        <v>46244.0</v>
      </c>
      <c r="I50" s="8"/>
    </row>
    <row r="51" ht="15.75" customHeight="1">
      <c r="A51" s="8" t="s">
        <v>213</v>
      </c>
      <c r="B51" s="8" t="s">
        <v>23</v>
      </c>
      <c r="C51" s="8" t="s">
        <v>128</v>
      </c>
      <c r="D51" s="8" t="s">
        <v>214</v>
      </c>
      <c r="E51" s="8" t="s">
        <v>215</v>
      </c>
      <c r="F51" s="9" t="s">
        <v>12</v>
      </c>
      <c r="G51" s="9" t="s">
        <v>216</v>
      </c>
      <c r="H51" s="13">
        <v>46244.0</v>
      </c>
      <c r="I51" s="9"/>
    </row>
    <row r="52" ht="15.75" customHeight="1">
      <c r="A52" s="8" t="s">
        <v>217</v>
      </c>
      <c r="B52" s="8" t="s">
        <v>23</v>
      </c>
      <c r="C52" s="8" t="s">
        <v>128</v>
      </c>
      <c r="D52" s="8" t="s">
        <v>218</v>
      </c>
      <c r="E52" s="8" t="s">
        <v>219</v>
      </c>
      <c r="F52" s="9" t="s">
        <v>12</v>
      </c>
      <c r="G52" s="9" t="s">
        <v>27</v>
      </c>
      <c r="H52" s="13">
        <v>46244.0</v>
      </c>
      <c r="I52" s="8"/>
    </row>
    <row r="53" ht="15.75" customHeight="1">
      <c r="A53" s="8" t="s">
        <v>221</v>
      </c>
      <c r="B53" s="8" t="s">
        <v>46</v>
      </c>
      <c r="C53" s="8" t="s">
        <v>128</v>
      </c>
      <c r="D53" s="8" t="s">
        <v>222</v>
      </c>
      <c r="E53" s="8" t="s">
        <v>223</v>
      </c>
      <c r="F53" s="9" t="s">
        <v>12</v>
      </c>
      <c r="G53" s="9" t="s">
        <v>27</v>
      </c>
      <c r="H53" s="13">
        <v>46244.0</v>
      </c>
      <c r="I53" s="8"/>
    </row>
    <row r="54" ht="15.75" customHeight="1">
      <c r="A54" s="8" t="s">
        <v>224</v>
      </c>
      <c r="B54" s="8" t="s">
        <v>46</v>
      </c>
      <c r="C54" s="8" t="s">
        <v>128</v>
      </c>
      <c r="D54" s="8" t="s">
        <v>225</v>
      </c>
      <c r="E54" s="8" t="s">
        <v>226</v>
      </c>
      <c r="F54" s="9" t="s">
        <v>12</v>
      </c>
      <c r="G54" s="9" t="s">
        <v>27</v>
      </c>
      <c r="H54" s="13">
        <v>46244.0</v>
      </c>
      <c r="I54" s="8"/>
    </row>
    <row r="55" ht="15.75" customHeight="1">
      <c r="A55" s="8" t="s">
        <v>227</v>
      </c>
      <c r="B55" s="8" t="s">
        <v>46</v>
      </c>
      <c r="C55" s="8" t="s">
        <v>128</v>
      </c>
      <c r="D55" s="8" t="s">
        <v>228</v>
      </c>
      <c r="E55" s="8" t="s">
        <v>229</v>
      </c>
      <c r="F55" s="9" t="s">
        <v>12</v>
      </c>
      <c r="G55" s="9" t="s">
        <v>27</v>
      </c>
      <c r="H55" s="13">
        <v>46244.0</v>
      </c>
      <c r="I55" s="8"/>
    </row>
    <row r="56" ht="15.75" customHeight="1">
      <c r="A56" s="8" t="s">
        <v>230</v>
      </c>
      <c r="B56" s="8" t="s">
        <v>46</v>
      </c>
      <c r="C56" s="8" t="s">
        <v>231</v>
      </c>
      <c r="D56" s="8" t="s">
        <v>232</v>
      </c>
      <c r="E56" s="8" t="s">
        <v>233</v>
      </c>
      <c r="F56" s="9" t="s">
        <v>12</v>
      </c>
      <c r="G56" s="9" t="s">
        <v>27</v>
      </c>
      <c r="H56" s="13">
        <v>46244.0</v>
      </c>
      <c r="I56" s="8"/>
    </row>
    <row r="57" ht="15.75" customHeight="1">
      <c r="A57" s="8" t="s">
        <v>234</v>
      </c>
      <c r="B57" s="8" t="s">
        <v>184</v>
      </c>
      <c r="C57" s="8" t="s">
        <v>128</v>
      </c>
      <c r="D57" s="8" t="s">
        <v>235</v>
      </c>
      <c r="E57" s="8" t="s">
        <v>236</v>
      </c>
      <c r="F57" s="9" t="s">
        <v>12</v>
      </c>
      <c r="G57" s="9" t="s">
        <v>27</v>
      </c>
      <c r="H57" s="13">
        <v>46244.0</v>
      </c>
      <c r="I57" s="8"/>
    </row>
    <row r="58" ht="15.75" customHeight="1">
      <c r="A58" s="8" t="s">
        <v>237</v>
      </c>
      <c r="B58" s="8" t="s">
        <v>66</v>
      </c>
      <c r="C58" s="8" t="s">
        <v>128</v>
      </c>
      <c r="D58" s="8" t="s">
        <v>238</v>
      </c>
      <c r="E58" s="8" t="s">
        <v>239</v>
      </c>
      <c r="F58" s="9" t="s">
        <v>12</v>
      </c>
      <c r="G58" s="9" t="s">
        <v>27</v>
      </c>
      <c r="H58" s="13">
        <v>46244.0</v>
      </c>
      <c r="I58" s="8"/>
    </row>
    <row r="59" ht="15.75" customHeight="1">
      <c r="A59" s="8" t="s">
        <v>240</v>
      </c>
      <c r="B59" s="8" t="s">
        <v>98</v>
      </c>
      <c r="C59" s="8" t="s">
        <v>128</v>
      </c>
      <c r="D59" s="8" t="s">
        <v>241</v>
      </c>
      <c r="E59" s="8" t="s">
        <v>242</v>
      </c>
      <c r="F59" s="9" t="s">
        <v>12</v>
      </c>
      <c r="G59" s="9" t="s">
        <v>27</v>
      </c>
      <c r="H59" s="13">
        <v>46244.0</v>
      </c>
      <c r="I59" s="8"/>
    </row>
    <row r="60" ht="15.75" customHeight="1">
      <c r="A60" s="8" t="s">
        <v>243</v>
      </c>
      <c r="B60" s="8" t="s">
        <v>136</v>
      </c>
      <c r="C60" s="8" t="s">
        <v>128</v>
      </c>
      <c r="D60" s="8" t="s">
        <v>244</v>
      </c>
      <c r="E60" s="8" t="s">
        <v>245</v>
      </c>
      <c r="F60" s="9" t="s">
        <v>12</v>
      </c>
      <c r="G60" s="9" t="s">
        <v>27</v>
      </c>
      <c r="H60" s="13">
        <v>46244.0</v>
      </c>
      <c r="I60" s="8"/>
    </row>
    <row r="61" ht="15.75" customHeight="1">
      <c r="A61" s="8" t="s">
        <v>246</v>
      </c>
      <c r="B61" s="8" t="s">
        <v>136</v>
      </c>
      <c r="C61" s="8" t="s">
        <v>128</v>
      </c>
      <c r="D61" s="8" t="s">
        <v>247</v>
      </c>
      <c r="E61" s="8" t="s">
        <v>248</v>
      </c>
      <c r="F61" s="9" t="s">
        <v>12</v>
      </c>
      <c r="G61" s="9" t="s">
        <v>27</v>
      </c>
      <c r="H61" s="13">
        <v>46244.0</v>
      </c>
      <c r="I61" s="8"/>
    </row>
    <row r="62" ht="15.75" customHeight="1">
      <c r="A62" s="8" t="s">
        <v>249</v>
      </c>
      <c r="B62" s="8" t="s">
        <v>136</v>
      </c>
      <c r="C62" s="8" t="s">
        <v>128</v>
      </c>
      <c r="D62" s="8" t="s">
        <v>250</v>
      </c>
      <c r="E62" s="8" t="s">
        <v>251</v>
      </c>
      <c r="F62" s="9" t="s">
        <v>12</v>
      </c>
      <c r="G62" s="9" t="s">
        <v>27</v>
      </c>
      <c r="H62" s="13">
        <v>46244.0</v>
      </c>
      <c r="I62" s="8"/>
    </row>
    <row r="63" ht="15.75" customHeight="1">
      <c r="A63" s="8" t="s">
        <v>252</v>
      </c>
      <c r="B63" s="8" t="s">
        <v>253</v>
      </c>
      <c r="C63" s="8" t="s">
        <v>128</v>
      </c>
      <c r="D63" s="8" t="s">
        <v>254</v>
      </c>
      <c r="E63" s="8" t="s">
        <v>255</v>
      </c>
      <c r="F63" s="9" t="s">
        <v>12</v>
      </c>
      <c r="G63" s="9" t="s">
        <v>27</v>
      </c>
      <c r="H63" s="13">
        <v>46244.0</v>
      </c>
      <c r="I63" s="8"/>
    </row>
    <row r="64" ht="15.75" customHeight="1">
      <c r="A64" s="8" t="s">
        <v>256</v>
      </c>
      <c r="B64" s="8" t="s">
        <v>253</v>
      </c>
      <c r="C64" s="8" t="s">
        <v>231</v>
      </c>
      <c r="D64" s="8" t="s">
        <v>257</v>
      </c>
      <c r="E64" s="8" t="s">
        <v>258</v>
      </c>
      <c r="F64" s="9" t="s">
        <v>12</v>
      </c>
      <c r="G64" s="9" t="s">
        <v>27</v>
      </c>
      <c r="H64" s="13">
        <v>46244.0</v>
      </c>
      <c r="I64" s="8"/>
    </row>
    <row r="65" ht="15.75" customHeight="1">
      <c r="A65" s="8" t="s">
        <v>259</v>
      </c>
      <c r="B65" s="8" t="s">
        <v>260</v>
      </c>
      <c r="C65" s="8" t="s">
        <v>128</v>
      </c>
      <c r="D65" s="8" t="s">
        <v>262</v>
      </c>
      <c r="E65" s="8" t="s">
        <v>263</v>
      </c>
      <c r="F65" s="9" t="s">
        <v>12</v>
      </c>
      <c r="G65" s="9" t="s">
        <v>27</v>
      </c>
      <c r="H65" s="13">
        <v>46244.0</v>
      </c>
      <c r="I65" s="8"/>
    </row>
    <row r="66" ht="15.75" customHeight="1">
      <c r="A66" s="8" t="s">
        <v>264</v>
      </c>
      <c r="B66" s="8" t="s">
        <v>260</v>
      </c>
      <c r="C66" s="8" t="s">
        <v>128</v>
      </c>
      <c r="D66" s="8" t="s">
        <v>265</v>
      </c>
      <c r="E66" s="8" t="s">
        <v>266</v>
      </c>
      <c r="F66" s="9" t="s">
        <v>12</v>
      </c>
      <c r="G66" s="9" t="s">
        <v>27</v>
      </c>
      <c r="H66" s="13">
        <v>46244.0</v>
      </c>
      <c r="I66" s="8"/>
    </row>
    <row r="67" ht="15.75" customHeight="1">
      <c r="A67" s="8" t="s">
        <v>267</v>
      </c>
      <c r="B67" s="8" t="s">
        <v>260</v>
      </c>
      <c r="C67" s="8" t="s">
        <v>128</v>
      </c>
      <c r="D67" s="8" t="s">
        <v>268</v>
      </c>
      <c r="E67" s="8" t="s">
        <v>269</v>
      </c>
      <c r="F67" s="9" t="s">
        <v>12</v>
      </c>
      <c r="G67" s="9" t="s">
        <v>27</v>
      </c>
      <c r="H67" s="13">
        <v>46244.0</v>
      </c>
      <c r="I67" s="8"/>
    </row>
    <row r="68" ht="15.75" customHeight="1">
      <c r="A68" s="8" t="s">
        <v>270</v>
      </c>
      <c r="B68" s="8" t="s">
        <v>260</v>
      </c>
      <c r="C68" s="8" t="s">
        <v>231</v>
      </c>
      <c r="D68" s="8" t="s">
        <v>271</v>
      </c>
      <c r="E68" s="8" t="s">
        <v>272</v>
      </c>
      <c r="F68" s="9" t="s">
        <v>12</v>
      </c>
      <c r="G68" s="9" t="s">
        <v>27</v>
      </c>
      <c r="H68" s="13">
        <v>46244.0</v>
      </c>
      <c r="I68" s="8"/>
    </row>
    <row r="69" ht="15.75" customHeight="1">
      <c r="A69" s="8" t="s">
        <v>273</v>
      </c>
      <c r="B69" s="8" t="s">
        <v>23</v>
      </c>
      <c r="C69" s="8" t="s">
        <v>128</v>
      </c>
      <c r="D69" s="8" t="s">
        <v>274</v>
      </c>
      <c r="E69" s="8" t="s">
        <v>275</v>
      </c>
      <c r="F69" s="9" t="s">
        <v>12</v>
      </c>
      <c r="G69" s="9" t="s">
        <v>27</v>
      </c>
      <c r="H69" s="13">
        <v>46244.0</v>
      </c>
      <c r="I69" s="8"/>
    </row>
    <row r="70" ht="15.75" customHeight="1">
      <c r="A70" s="8" t="s">
        <v>276</v>
      </c>
      <c r="B70" s="8" t="s">
        <v>220</v>
      </c>
      <c r="C70" s="8" t="s">
        <v>128</v>
      </c>
      <c r="D70" s="8" t="s">
        <v>277</v>
      </c>
      <c r="E70" s="8" t="s">
        <v>278</v>
      </c>
      <c r="F70" s="9" t="s">
        <v>12</v>
      </c>
      <c r="G70" s="9" t="s">
        <v>27</v>
      </c>
      <c r="H70" s="10">
        <v>46244.0</v>
      </c>
      <c r="I70" s="8"/>
    </row>
    <row r="71" ht="15.75" customHeight="1">
      <c r="A71" s="8" t="s">
        <v>279</v>
      </c>
      <c r="B71" s="8" t="s">
        <v>220</v>
      </c>
      <c r="C71" s="8" t="s">
        <v>128</v>
      </c>
      <c r="D71" s="8" t="s">
        <v>280</v>
      </c>
      <c r="E71" s="8" t="s">
        <v>281</v>
      </c>
      <c r="F71" s="9" t="s">
        <v>12</v>
      </c>
      <c r="G71" s="8"/>
      <c r="H71" s="8"/>
      <c r="I71" s="8"/>
    </row>
    <row r="72" ht="15.75" customHeight="1">
      <c r="A72" s="8" t="s">
        <v>282</v>
      </c>
      <c r="B72" s="8" t="s">
        <v>220</v>
      </c>
      <c r="C72" s="8" t="s">
        <v>128</v>
      </c>
      <c r="D72" s="8" t="s">
        <v>283</v>
      </c>
      <c r="E72" s="8" t="s">
        <v>284</v>
      </c>
      <c r="F72" s="9" t="s">
        <v>12</v>
      </c>
      <c r="G72" s="8"/>
      <c r="H72" s="8"/>
      <c r="I72" s="8"/>
    </row>
    <row r="73" ht="15.75" customHeight="1">
      <c r="A73" s="8" t="s">
        <v>285</v>
      </c>
      <c r="B73" s="8" t="s">
        <v>220</v>
      </c>
      <c r="C73" s="8" t="s">
        <v>128</v>
      </c>
      <c r="D73" s="8" t="s">
        <v>286</v>
      </c>
      <c r="E73" s="8" t="s">
        <v>287</v>
      </c>
      <c r="F73" s="9" t="s">
        <v>12</v>
      </c>
      <c r="G73" s="8"/>
      <c r="H73" s="8"/>
      <c r="I73" s="8"/>
    </row>
    <row r="74" ht="15.75" customHeight="1">
      <c r="A74" s="8" t="s">
        <v>288</v>
      </c>
      <c r="B74" s="8" t="s">
        <v>220</v>
      </c>
      <c r="C74" s="8" t="s">
        <v>128</v>
      </c>
      <c r="D74" s="8" t="s">
        <v>289</v>
      </c>
      <c r="E74" s="8" t="s">
        <v>290</v>
      </c>
      <c r="F74" s="8" t="s">
        <v>36</v>
      </c>
      <c r="G74" s="8"/>
      <c r="H74" s="8"/>
      <c r="I74" s="8"/>
    </row>
    <row r="75" ht="15.75" customHeight="1">
      <c r="A75" s="8" t="s">
        <v>291</v>
      </c>
      <c r="B75" s="8" t="s">
        <v>220</v>
      </c>
      <c r="C75" s="8" t="s">
        <v>128</v>
      </c>
      <c r="D75" s="8" t="s">
        <v>292</v>
      </c>
      <c r="E75" s="8" t="s">
        <v>293</v>
      </c>
      <c r="F75" s="8" t="s">
        <v>36</v>
      </c>
      <c r="G75" s="8"/>
      <c r="H75" s="8"/>
      <c r="I75" s="8"/>
    </row>
    <row r="76" ht="15.75" customHeight="1">
      <c r="A76" s="8" t="s">
        <v>294</v>
      </c>
      <c r="B76" s="8" t="s">
        <v>261</v>
      </c>
      <c r="C76" s="8" t="s">
        <v>24</v>
      </c>
      <c r="D76" s="8" t="s">
        <v>295</v>
      </c>
      <c r="E76" s="8" t="s">
        <v>296</v>
      </c>
      <c r="F76" s="9" t="s">
        <v>36</v>
      </c>
      <c r="G76" s="8"/>
      <c r="H76" s="8"/>
      <c r="I76" s="8"/>
    </row>
    <row r="77" ht="15.75" customHeight="1">
      <c r="A77" s="8" t="s">
        <v>297</v>
      </c>
      <c r="B77" s="8" t="s">
        <v>261</v>
      </c>
      <c r="C77" s="8" t="s">
        <v>24</v>
      </c>
      <c r="D77" s="8" t="s">
        <v>298</v>
      </c>
      <c r="E77" s="8" t="s">
        <v>299</v>
      </c>
      <c r="F77" s="8" t="s">
        <v>36</v>
      </c>
      <c r="G77" s="8"/>
      <c r="H77" s="8"/>
      <c r="I77" s="8"/>
    </row>
    <row r="78" ht="15.75" customHeight="1">
      <c r="A78" s="8" t="s">
        <v>300</v>
      </c>
      <c r="B78" s="8" t="s">
        <v>261</v>
      </c>
      <c r="C78" s="8" t="s">
        <v>128</v>
      </c>
      <c r="D78" s="8" t="s">
        <v>301</v>
      </c>
      <c r="E78" s="8" t="s">
        <v>302</v>
      </c>
      <c r="F78" s="8" t="s">
        <v>36</v>
      </c>
      <c r="G78" s="8"/>
      <c r="H78" s="8"/>
      <c r="I78" s="8"/>
    </row>
    <row r="79" ht="15.75" customHeight="1">
      <c r="A79" s="8" t="s">
        <v>303</v>
      </c>
      <c r="B79" s="8" t="s">
        <v>261</v>
      </c>
      <c r="C79" s="8" t="s">
        <v>128</v>
      </c>
      <c r="D79" s="8" t="s">
        <v>304</v>
      </c>
      <c r="E79" s="8" t="s">
        <v>305</v>
      </c>
      <c r="F79" s="8" t="s">
        <v>36</v>
      </c>
      <c r="G79" s="8"/>
      <c r="H79" s="8"/>
      <c r="I79" s="8"/>
    </row>
    <row r="80" ht="15.75" customHeight="1">
      <c r="A80" s="8" t="s">
        <v>306</v>
      </c>
      <c r="B80" s="8" t="s">
        <v>261</v>
      </c>
      <c r="C80" s="8" t="s">
        <v>128</v>
      </c>
      <c r="D80" s="8" t="s">
        <v>307</v>
      </c>
      <c r="E80" s="8" t="s">
        <v>308</v>
      </c>
      <c r="F80" s="8" t="s">
        <v>36</v>
      </c>
      <c r="G80" s="8"/>
      <c r="H80" s="8"/>
      <c r="I80" s="8"/>
    </row>
    <row r="81" ht="15.75" customHeight="1">
      <c r="A81" s="8" t="s">
        <v>309</v>
      </c>
      <c r="B81" s="8" t="s">
        <v>261</v>
      </c>
      <c r="C81" s="8" t="s">
        <v>24</v>
      </c>
      <c r="D81" s="8" t="s">
        <v>310</v>
      </c>
      <c r="E81" s="8" t="s">
        <v>311</v>
      </c>
      <c r="F81" s="8" t="s">
        <v>36</v>
      </c>
      <c r="G81" s="8"/>
      <c r="H81" s="8"/>
      <c r="I81" s="8"/>
    </row>
    <row r="82" ht="15.75" customHeight="1">
      <c r="A82" s="8" t="s">
        <v>312</v>
      </c>
      <c r="B82" s="8" t="s">
        <v>261</v>
      </c>
      <c r="C82" s="8" t="s">
        <v>128</v>
      </c>
      <c r="D82" s="8" t="s">
        <v>313</v>
      </c>
      <c r="E82" s="8" t="s">
        <v>314</v>
      </c>
      <c r="F82" s="8" t="s">
        <v>36</v>
      </c>
      <c r="G82" s="8"/>
      <c r="H82" s="8"/>
      <c r="I82" s="8"/>
    </row>
    <row r="83" ht="15.75" customHeight="1">
      <c r="A83" s="8" t="s">
        <v>315</v>
      </c>
      <c r="B83" s="8" t="s">
        <v>46</v>
      </c>
      <c r="C83" s="8" t="s">
        <v>128</v>
      </c>
      <c r="D83" s="8" t="s">
        <v>316</v>
      </c>
      <c r="E83" s="8" t="s">
        <v>317</v>
      </c>
      <c r="F83" s="8" t="s">
        <v>36</v>
      </c>
      <c r="G83" s="8"/>
      <c r="H83" s="8"/>
      <c r="I83" s="8"/>
    </row>
    <row r="84" ht="15.75" customHeight="1">
      <c r="A84" s="8" t="s">
        <v>318</v>
      </c>
      <c r="B84" s="8" t="s">
        <v>46</v>
      </c>
      <c r="C84" s="8" t="s">
        <v>128</v>
      </c>
      <c r="D84" s="8" t="s">
        <v>319</v>
      </c>
      <c r="E84" s="8" t="s">
        <v>320</v>
      </c>
      <c r="F84" s="9" t="s">
        <v>22</v>
      </c>
      <c r="G84" s="9" t="s">
        <v>200</v>
      </c>
      <c r="H84" s="10">
        <v>46244.0</v>
      </c>
      <c r="I84" s="9" t="s">
        <v>321</v>
      </c>
    </row>
    <row r="85" ht="15.75" customHeight="1">
      <c r="A85" s="8" t="s">
        <v>322</v>
      </c>
      <c r="B85" s="8" t="s">
        <v>46</v>
      </c>
      <c r="C85" s="8" t="s">
        <v>128</v>
      </c>
      <c r="D85" s="8" t="s">
        <v>323</v>
      </c>
      <c r="E85" s="8" t="s">
        <v>324</v>
      </c>
      <c r="F85" s="9" t="s">
        <v>12</v>
      </c>
      <c r="G85" s="9" t="s">
        <v>200</v>
      </c>
      <c r="H85" s="10">
        <v>46244.0</v>
      </c>
      <c r="I85" s="9" t="s">
        <v>325</v>
      </c>
    </row>
    <row r="86" ht="15.75" customHeight="1">
      <c r="A86" s="8" t="s">
        <v>326</v>
      </c>
      <c r="B86" s="8" t="s">
        <v>46</v>
      </c>
      <c r="C86" s="8" t="s">
        <v>128</v>
      </c>
      <c r="D86" s="8" t="s">
        <v>327</v>
      </c>
      <c r="E86" s="8" t="s">
        <v>328</v>
      </c>
      <c r="F86" s="9" t="s">
        <v>12</v>
      </c>
      <c r="G86" s="9" t="s">
        <v>200</v>
      </c>
      <c r="H86" s="10">
        <v>46244.0</v>
      </c>
      <c r="I86" s="9" t="s">
        <v>329</v>
      </c>
    </row>
    <row r="87" ht="15.75" customHeight="1">
      <c r="A87" s="8" t="s">
        <v>330</v>
      </c>
      <c r="B87" s="8" t="s">
        <v>46</v>
      </c>
      <c r="C87" s="8" t="s">
        <v>128</v>
      </c>
      <c r="D87" s="8" t="s">
        <v>331</v>
      </c>
      <c r="E87" s="8" t="s">
        <v>332</v>
      </c>
      <c r="F87" s="9" t="s">
        <v>12</v>
      </c>
      <c r="G87" s="9" t="s">
        <v>200</v>
      </c>
      <c r="H87" s="10">
        <v>46244.0</v>
      </c>
      <c r="I87" s="9" t="s">
        <v>333</v>
      </c>
    </row>
    <row r="88" ht="15.75" customHeight="1">
      <c r="A88" s="8" t="s">
        <v>334</v>
      </c>
      <c r="B88" s="8" t="s">
        <v>46</v>
      </c>
      <c r="C88" s="8" t="s">
        <v>128</v>
      </c>
      <c r="D88" s="8" t="s">
        <v>335</v>
      </c>
      <c r="E88" s="8" t="s">
        <v>336</v>
      </c>
      <c r="F88" s="8" t="s">
        <v>36</v>
      </c>
      <c r="G88" s="8"/>
      <c r="H88" s="8"/>
      <c r="I88" s="8"/>
    </row>
    <row r="89" ht="15.75" customHeight="1">
      <c r="A89" s="8" t="s">
        <v>337</v>
      </c>
      <c r="B89" s="8" t="s">
        <v>46</v>
      </c>
      <c r="C89" s="8" t="s">
        <v>128</v>
      </c>
      <c r="D89" s="8" t="s">
        <v>338</v>
      </c>
      <c r="E89" s="8" t="s">
        <v>339</v>
      </c>
      <c r="F89" s="9" t="s">
        <v>22</v>
      </c>
      <c r="G89" s="9" t="s">
        <v>200</v>
      </c>
      <c r="H89" s="10">
        <v>46244.0</v>
      </c>
      <c r="I89" s="9" t="s">
        <v>340</v>
      </c>
    </row>
    <row r="90" ht="15.75" customHeight="1">
      <c r="A90" s="8" t="s">
        <v>341</v>
      </c>
      <c r="B90" s="8" t="s">
        <v>58</v>
      </c>
      <c r="C90" s="8" t="s">
        <v>128</v>
      </c>
      <c r="D90" s="8" t="s">
        <v>342</v>
      </c>
      <c r="E90" s="8" t="s">
        <v>343</v>
      </c>
      <c r="F90" s="8" t="s">
        <v>36</v>
      </c>
      <c r="G90" s="8"/>
      <c r="H90" s="8"/>
      <c r="I90" s="8"/>
    </row>
    <row r="91" ht="15.75" customHeight="1">
      <c r="A91" s="8" t="s">
        <v>344</v>
      </c>
      <c r="B91" s="8" t="s">
        <v>58</v>
      </c>
      <c r="C91" s="8" t="s">
        <v>128</v>
      </c>
      <c r="D91" s="8" t="s">
        <v>345</v>
      </c>
      <c r="E91" s="8" t="s">
        <v>346</v>
      </c>
      <c r="F91" s="8" t="s">
        <v>36</v>
      </c>
      <c r="G91" s="8"/>
      <c r="H91" s="8"/>
      <c r="I91" s="8"/>
    </row>
    <row r="92" ht="15.75" customHeight="1">
      <c r="A92" s="8" t="s">
        <v>347</v>
      </c>
      <c r="B92" s="8" t="s">
        <v>58</v>
      </c>
      <c r="C92" s="8" t="s">
        <v>128</v>
      </c>
      <c r="D92" s="8" t="s">
        <v>348</v>
      </c>
      <c r="E92" s="8" t="s">
        <v>349</v>
      </c>
      <c r="F92" s="9" t="s">
        <v>12</v>
      </c>
      <c r="G92" s="9" t="s">
        <v>200</v>
      </c>
      <c r="H92" s="10">
        <v>46244.0</v>
      </c>
      <c r="I92" s="9" t="s">
        <v>350</v>
      </c>
    </row>
    <row r="93" ht="15.75" customHeight="1">
      <c r="A93" s="8" t="s">
        <v>351</v>
      </c>
      <c r="B93" s="8" t="s">
        <v>58</v>
      </c>
      <c r="C93" s="8" t="s">
        <v>128</v>
      </c>
      <c r="D93" s="8" t="s">
        <v>352</v>
      </c>
      <c r="E93" s="8" t="s">
        <v>28</v>
      </c>
      <c r="F93" s="8" t="s">
        <v>36</v>
      </c>
      <c r="G93" s="8"/>
      <c r="H93" s="8"/>
      <c r="I93" s="8"/>
    </row>
    <row r="94" ht="15.75" customHeight="1">
      <c r="A94" s="8" t="s">
        <v>353</v>
      </c>
      <c r="B94" s="8" t="s">
        <v>58</v>
      </c>
      <c r="C94" s="8" t="s">
        <v>128</v>
      </c>
      <c r="D94" s="8" t="s">
        <v>354</v>
      </c>
      <c r="E94" s="8" t="s">
        <v>355</v>
      </c>
      <c r="F94" s="8" t="s">
        <v>36</v>
      </c>
      <c r="G94" s="8"/>
      <c r="H94" s="8"/>
      <c r="I94" s="8"/>
    </row>
    <row r="95" ht="15.75" customHeight="1">
      <c r="A95" s="8" t="s">
        <v>356</v>
      </c>
      <c r="B95" s="8" t="s">
        <v>58</v>
      </c>
      <c r="C95" s="8" t="s">
        <v>128</v>
      </c>
      <c r="D95" s="8" t="s">
        <v>357</v>
      </c>
      <c r="E95" s="8" t="s">
        <v>358</v>
      </c>
      <c r="F95" s="8" t="s">
        <v>36</v>
      </c>
      <c r="G95" s="8"/>
      <c r="H95" s="8"/>
      <c r="I95" s="8"/>
    </row>
    <row r="96" ht="15.75" customHeight="1">
      <c r="A96" s="8" t="s">
        <v>359</v>
      </c>
      <c r="B96" s="8" t="s">
        <v>58</v>
      </c>
      <c r="C96" s="8" t="s">
        <v>128</v>
      </c>
      <c r="D96" s="8" t="s">
        <v>360</v>
      </c>
      <c r="E96" s="8" t="s">
        <v>361</v>
      </c>
      <c r="F96" s="8" t="s">
        <v>36</v>
      </c>
      <c r="G96" s="8"/>
      <c r="H96" s="8"/>
      <c r="I96" s="8"/>
    </row>
    <row r="97" ht="15.75" customHeight="1">
      <c r="A97" s="8" t="s">
        <v>362</v>
      </c>
      <c r="B97" s="8" t="s">
        <v>184</v>
      </c>
      <c r="C97" s="8" t="s">
        <v>128</v>
      </c>
      <c r="D97" s="8" t="s">
        <v>363</v>
      </c>
      <c r="E97" s="8" t="s">
        <v>364</v>
      </c>
      <c r="F97" s="8" t="s">
        <v>36</v>
      </c>
      <c r="G97" s="8"/>
      <c r="H97" s="8"/>
      <c r="I97" s="8"/>
    </row>
    <row r="98" ht="15.75" customHeight="1">
      <c r="A98" s="8" t="s">
        <v>365</v>
      </c>
      <c r="B98" s="8" t="s">
        <v>184</v>
      </c>
      <c r="C98" s="8" t="s">
        <v>128</v>
      </c>
      <c r="D98" s="8" t="s">
        <v>366</v>
      </c>
      <c r="E98" s="8" t="s">
        <v>367</v>
      </c>
      <c r="F98" s="8" t="s">
        <v>36</v>
      </c>
      <c r="G98" s="8"/>
      <c r="H98" s="8"/>
      <c r="I98" s="8"/>
    </row>
    <row r="99" ht="15.75" customHeight="1">
      <c r="A99" s="8" t="s">
        <v>368</v>
      </c>
      <c r="B99" s="8" t="s">
        <v>184</v>
      </c>
      <c r="C99" s="8" t="s">
        <v>128</v>
      </c>
      <c r="D99" s="8" t="s">
        <v>369</v>
      </c>
      <c r="E99" s="8" t="s">
        <v>370</v>
      </c>
      <c r="F99" s="8" t="s">
        <v>36</v>
      </c>
      <c r="G99" s="8"/>
      <c r="H99" s="8"/>
      <c r="I99" s="8"/>
    </row>
    <row r="100" ht="15.75" customHeight="1">
      <c r="A100" s="8" t="s">
        <v>371</v>
      </c>
      <c r="B100" s="8" t="s">
        <v>184</v>
      </c>
      <c r="C100" s="8" t="s">
        <v>128</v>
      </c>
      <c r="D100" s="8" t="s">
        <v>372</v>
      </c>
      <c r="E100" s="8" t="s">
        <v>373</v>
      </c>
      <c r="F100" s="8" t="s">
        <v>36</v>
      </c>
      <c r="G100" s="8"/>
      <c r="H100" s="8"/>
      <c r="I100" s="8"/>
    </row>
    <row r="101" ht="15.75" customHeight="1">
      <c r="A101" s="8" t="s">
        <v>374</v>
      </c>
      <c r="B101" s="8" t="s">
        <v>184</v>
      </c>
      <c r="C101" s="8" t="s">
        <v>128</v>
      </c>
      <c r="D101" s="8" t="s">
        <v>375</v>
      </c>
      <c r="E101" s="8" t="s">
        <v>376</v>
      </c>
      <c r="F101" s="8" t="s">
        <v>36</v>
      </c>
      <c r="G101" s="8"/>
      <c r="H101" s="8"/>
      <c r="I101" s="8"/>
    </row>
    <row r="102" ht="15.75" customHeight="1">
      <c r="A102" s="8" t="s">
        <v>377</v>
      </c>
      <c r="B102" s="8" t="s">
        <v>66</v>
      </c>
      <c r="C102" s="8" t="s">
        <v>128</v>
      </c>
      <c r="D102" s="8" t="s">
        <v>378</v>
      </c>
      <c r="E102" s="8" t="s">
        <v>379</v>
      </c>
      <c r="F102" s="8" t="s">
        <v>36</v>
      </c>
      <c r="G102" s="8"/>
      <c r="H102" s="8"/>
      <c r="I102" s="8"/>
    </row>
    <row r="103" ht="15.75" customHeight="1">
      <c r="A103" s="8" t="s">
        <v>380</v>
      </c>
      <c r="B103" s="8" t="s">
        <v>66</v>
      </c>
      <c r="C103" s="8" t="s">
        <v>128</v>
      </c>
      <c r="D103" s="8" t="s">
        <v>381</v>
      </c>
      <c r="E103" s="8" t="s">
        <v>382</v>
      </c>
      <c r="F103" s="8" t="s">
        <v>36</v>
      </c>
      <c r="G103" s="8"/>
      <c r="H103" s="8"/>
      <c r="I103" s="8"/>
    </row>
    <row r="104" ht="15.75" customHeight="1">
      <c r="A104" s="8" t="s">
        <v>383</v>
      </c>
      <c r="B104" s="8" t="s">
        <v>66</v>
      </c>
      <c r="C104" s="8" t="s">
        <v>128</v>
      </c>
      <c r="D104" s="8" t="s">
        <v>384</v>
      </c>
      <c r="E104" s="8" t="s">
        <v>385</v>
      </c>
      <c r="F104" s="8" t="s">
        <v>36</v>
      </c>
      <c r="G104" s="8"/>
      <c r="H104" s="8"/>
      <c r="I104" s="8"/>
    </row>
    <row r="105" ht="15.75" customHeight="1">
      <c r="A105" s="8" t="s">
        <v>386</v>
      </c>
      <c r="B105" s="8" t="s">
        <v>66</v>
      </c>
      <c r="C105" s="8" t="s">
        <v>231</v>
      </c>
      <c r="D105" s="8" t="s">
        <v>387</v>
      </c>
      <c r="E105" s="8" t="s">
        <v>388</v>
      </c>
      <c r="F105" s="8" t="s">
        <v>36</v>
      </c>
      <c r="G105" s="8"/>
      <c r="H105" s="8"/>
      <c r="I105" s="8"/>
    </row>
    <row r="106" ht="15.75" customHeight="1">
      <c r="A106" s="8" t="s">
        <v>389</v>
      </c>
      <c r="B106" s="8" t="s">
        <v>74</v>
      </c>
      <c r="C106" s="8" t="s">
        <v>24</v>
      </c>
      <c r="D106" s="8" t="s">
        <v>390</v>
      </c>
      <c r="E106" s="8" t="s">
        <v>391</v>
      </c>
      <c r="F106" s="8" t="s">
        <v>36</v>
      </c>
      <c r="G106" s="8"/>
      <c r="H106" s="8"/>
      <c r="I106" s="8"/>
    </row>
    <row r="107" ht="15.75" customHeight="1">
      <c r="A107" s="8" t="s">
        <v>392</v>
      </c>
      <c r="B107" s="8" t="s">
        <v>74</v>
      </c>
      <c r="C107" s="8" t="s">
        <v>128</v>
      </c>
      <c r="D107" s="8" t="s">
        <v>393</v>
      </c>
      <c r="E107" s="8" t="s">
        <v>394</v>
      </c>
      <c r="F107" s="8" t="s">
        <v>36</v>
      </c>
      <c r="G107" s="8"/>
      <c r="H107" s="8"/>
      <c r="I107" s="8"/>
    </row>
    <row r="108" ht="15.75" customHeight="1">
      <c r="A108" s="8" t="s">
        <v>395</v>
      </c>
      <c r="B108" s="8" t="s">
        <v>74</v>
      </c>
      <c r="C108" s="8" t="s">
        <v>128</v>
      </c>
      <c r="D108" s="8" t="s">
        <v>396</v>
      </c>
      <c r="E108" s="8" t="s">
        <v>397</v>
      </c>
      <c r="F108" s="8" t="s">
        <v>36</v>
      </c>
      <c r="G108" s="8"/>
      <c r="H108" s="8"/>
      <c r="I108" s="8"/>
    </row>
    <row r="109" ht="15.75" customHeight="1">
      <c r="A109" s="8" t="s">
        <v>398</v>
      </c>
      <c r="B109" s="8" t="s">
        <v>74</v>
      </c>
      <c r="C109" s="8" t="s">
        <v>128</v>
      </c>
      <c r="D109" s="8" t="s">
        <v>399</v>
      </c>
      <c r="E109" s="8" t="s">
        <v>400</v>
      </c>
      <c r="F109" s="8" t="s">
        <v>36</v>
      </c>
      <c r="G109" s="8"/>
      <c r="H109" s="8"/>
      <c r="I109" s="8"/>
    </row>
    <row r="110" ht="15.75" customHeight="1">
      <c r="A110" s="8" t="s">
        <v>401</v>
      </c>
      <c r="B110" s="8" t="s">
        <v>402</v>
      </c>
      <c r="C110" s="8" t="s">
        <v>24</v>
      </c>
      <c r="D110" s="8" t="s">
        <v>403</v>
      </c>
      <c r="E110" s="8" t="s">
        <v>404</v>
      </c>
      <c r="F110" s="8" t="s">
        <v>36</v>
      </c>
      <c r="G110" s="8"/>
      <c r="H110" s="8"/>
      <c r="I110" s="8"/>
    </row>
    <row r="111" ht="15.75" customHeight="1">
      <c r="A111" s="8" t="s">
        <v>405</v>
      </c>
      <c r="B111" s="8" t="s">
        <v>402</v>
      </c>
      <c r="C111" s="8" t="s">
        <v>128</v>
      </c>
      <c r="D111" s="8" t="s">
        <v>406</v>
      </c>
      <c r="E111" s="8" t="s">
        <v>407</v>
      </c>
      <c r="F111" s="8" t="s">
        <v>36</v>
      </c>
      <c r="G111" s="8"/>
      <c r="H111" s="8"/>
      <c r="I111" s="8"/>
    </row>
    <row r="112" ht="15.75" customHeight="1">
      <c r="A112" s="8" t="s">
        <v>408</v>
      </c>
      <c r="B112" s="8" t="s">
        <v>402</v>
      </c>
      <c r="C112" s="8" t="s">
        <v>24</v>
      </c>
      <c r="D112" s="8" t="s">
        <v>409</v>
      </c>
      <c r="E112" s="8" t="s">
        <v>410</v>
      </c>
      <c r="F112" s="8" t="s">
        <v>36</v>
      </c>
      <c r="G112" s="8"/>
      <c r="H112" s="8"/>
      <c r="I112" s="8"/>
    </row>
    <row r="113" ht="15.75" customHeight="1">
      <c r="A113" s="8" t="s">
        <v>411</v>
      </c>
      <c r="B113" s="8" t="s">
        <v>402</v>
      </c>
      <c r="C113" s="8" t="s">
        <v>24</v>
      </c>
      <c r="D113" s="8" t="s">
        <v>412</v>
      </c>
      <c r="E113" s="8" t="s">
        <v>413</v>
      </c>
      <c r="F113" s="8" t="s">
        <v>36</v>
      </c>
      <c r="G113" s="8"/>
      <c r="H113" s="8"/>
      <c r="I113" s="8"/>
    </row>
    <row r="114" ht="15.75" customHeight="1">
      <c r="A114" s="8" t="s">
        <v>414</v>
      </c>
      <c r="B114" s="8" t="s">
        <v>402</v>
      </c>
      <c r="C114" s="8" t="s">
        <v>24</v>
      </c>
      <c r="D114" s="8" t="s">
        <v>415</v>
      </c>
      <c r="E114" s="8" t="s">
        <v>416</v>
      </c>
      <c r="F114" s="8" t="s">
        <v>36</v>
      </c>
      <c r="G114" s="8"/>
      <c r="H114" s="8"/>
      <c r="I114" s="8"/>
    </row>
    <row r="115" ht="15.75" customHeight="1">
      <c r="A115" s="8" t="s">
        <v>417</v>
      </c>
      <c r="B115" s="8" t="s">
        <v>402</v>
      </c>
      <c r="C115" s="8" t="s">
        <v>24</v>
      </c>
      <c r="D115" s="8" t="s">
        <v>418</v>
      </c>
      <c r="E115" s="8" t="s">
        <v>419</v>
      </c>
      <c r="F115" s="8" t="s">
        <v>36</v>
      </c>
      <c r="G115" s="8"/>
      <c r="H115" s="8"/>
      <c r="I115" s="8"/>
    </row>
    <row r="116" ht="15.75" customHeight="1">
      <c r="A116" s="8" t="s">
        <v>420</v>
      </c>
      <c r="B116" s="8" t="s">
        <v>402</v>
      </c>
      <c r="C116" s="8" t="s">
        <v>24</v>
      </c>
      <c r="D116" s="8" t="s">
        <v>421</v>
      </c>
      <c r="E116" s="8" t="s">
        <v>422</v>
      </c>
      <c r="F116" s="8" t="s">
        <v>36</v>
      </c>
      <c r="G116" s="8"/>
      <c r="H116" s="8"/>
      <c r="I116" s="8"/>
    </row>
    <row r="117" ht="15.75" customHeight="1">
      <c r="A117" s="8" t="s">
        <v>423</v>
      </c>
      <c r="B117" s="8" t="s">
        <v>402</v>
      </c>
      <c r="C117" s="8" t="s">
        <v>128</v>
      </c>
      <c r="D117" s="8" t="s">
        <v>424</v>
      </c>
      <c r="E117" s="8" t="s">
        <v>425</v>
      </c>
      <c r="F117" s="8" t="s">
        <v>36</v>
      </c>
      <c r="G117" s="8"/>
      <c r="H117" s="8"/>
      <c r="I117" s="8"/>
    </row>
    <row r="118" ht="15.75" customHeight="1">
      <c r="A118" s="8" t="s">
        <v>426</v>
      </c>
      <c r="B118" s="8" t="s">
        <v>402</v>
      </c>
      <c r="C118" s="8" t="s">
        <v>128</v>
      </c>
      <c r="D118" s="8" t="s">
        <v>427</v>
      </c>
      <c r="E118" s="8" t="s">
        <v>428</v>
      </c>
      <c r="F118" s="8" t="s">
        <v>36</v>
      </c>
      <c r="G118" s="8"/>
      <c r="H118" s="8"/>
      <c r="I118" s="8"/>
    </row>
    <row r="119" ht="15.75" customHeight="1">
      <c r="A119" s="8" t="s">
        <v>429</v>
      </c>
      <c r="B119" s="8" t="s">
        <v>402</v>
      </c>
      <c r="C119" s="8" t="s">
        <v>24</v>
      </c>
      <c r="D119" s="8" t="s">
        <v>430</v>
      </c>
      <c r="E119" s="8" t="s">
        <v>431</v>
      </c>
      <c r="F119" s="8" t="s">
        <v>36</v>
      </c>
      <c r="G119" s="8"/>
      <c r="H119" s="8"/>
      <c r="I119" s="8"/>
    </row>
    <row r="120" ht="15.75" customHeight="1">
      <c r="A120" s="8" t="s">
        <v>432</v>
      </c>
      <c r="B120" s="8" t="s">
        <v>402</v>
      </c>
      <c r="C120" s="8" t="s">
        <v>24</v>
      </c>
      <c r="D120" s="8" t="s">
        <v>433</v>
      </c>
      <c r="E120" s="8" t="s">
        <v>434</v>
      </c>
      <c r="F120" s="8" t="s">
        <v>36</v>
      </c>
      <c r="G120" s="8"/>
      <c r="H120" s="8"/>
      <c r="I120" s="8"/>
    </row>
    <row r="121" ht="15.75" customHeight="1">
      <c r="A121" s="8" t="s">
        <v>435</v>
      </c>
      <c r="B121" s="8" t="s">
        <v>98</v>
      </c>
      <c r="C121" s="8" t="s">
        <v>24</v>
      </c>
      <c r="D121" s="8" t="s">
        <v>436</v>
      </c>
      <c r="E121" s="8" t="s">
        <v>134</v>
      </c>
      <c r="F121" s="8" t="s">
        <v>36</v>
      </c>
      <c r="G121" s="8"/>
      <c r="H121" s="8"/>
      <c r="I121" s="9" t="s">
        <v>437</v>
      </c>
    </row>
    <row r="122" ht="15.75" customHeight="1">
      <c r="A122" s="8" t="s">
        <v>438</v>
      </c>
      <c r="B122" s="8" t="s">
        <v>98</v>
      </c>
      <c r="C122" s="8" t="s">
        <v>128</v>
      </c>
      <c r="D122" s="8" t="s">
        <v>439</v>
      </c>
      <c r="E122" s="8" t="s">
        <v>440</v>
      </c>
      <c r="F122" s="8" t="s">
        <v>36</v>
      </c>
      <c r="G122" s="8"/>
      <c r="H122" s="8"/>
      <c r="I122" s="8"/>
    </row>
    <row r="123" ht="15.75" customHeight="1">
      <c r="A123" s="8" t="s">
        <v>441</v>
      </c>
      <c r="B123" s="8" t="s">
        <v>127</v>
      </c>
      <c r="C123" s="8" t="s">
        <v>128</v>
      </c>
      <c r="D123" s="8" t="s">
        <v>442</v>
      </c>
      <c r="E123" s="8" t="s">
        <v>443</v>
      </c>
      <c r="F123" s="8" t="s">
        <v>36</v>
      </c>
      <c r="G123" s="8"/>
      <c r="H123" s="8"/>
      <c r="I123" s="8"/>
    </row>
    <row r="124" ht="15.75" customHeight="1">
      <c r="A124" s="8" t="s">
        <v>444</v>
      </c>
      <c r="B124" s="8" t="s">
        <v>127</v>
      </c>
      <c r="C124" s="8" t="s">
        <v>128</v>
      </c>
      <c r="D124" s="8" t="s">
        <v>445</v>
      </c>
      <c r="E124" s="8" t="s">
        <v>446</v>
      </c>
      <c r="F124" s="8" t="s">
        <v>36</v>
      </c>
      <c r="G124" s="8"/>
      <c r="H124" s="8"/>
      <c r="I124" s="8"/>
    </row>
    <row r="125" ht="15.75" customHeight="1">
      <c r="A125" s="8" t="s">
        <v>447</v>
      </c>
      <c r="B125" s="8" t="s">
        <v>127</v>
      </c>
      <c r="C125" s="8" t="s">
        <v>128</v>
      </c>
      <c r="D125" s="8" t="s">
        <v>448</v>
      </c>
      <c r="E125" s="8" t="s">
        <v>449</v>
      </c>
      <c r="F125" s="8" t="s">
        <v>36</v>
      </c>
      <c r="G125" s="8"/>
      <c r="H125" s="8"/>
      <c r="I125" s="8"/>
    </row>
    <row r="126" ht="15.75" customHeight="1">
      <c r="A126" s="8" t="s">
        <v>450</v>
      </c>
      <c r="B126" s="8" t="s">
        <v>127</v>
      </c>
      <c r="C126" s="8" t="s">
        <v>24</v>
      </c>
      <c r="D126" s="8" t="s">
        <v>451</v>
      </c>
      <c r="E126" s="8" t="s">
        <v>452</v>
      </c>
      <c r="F126" s="8" t="s">
        <v>36</v>
      </c>
      <c r="G126" s="8"/>
      <c r="H126" s="8"/>
      <c r="I126" s="8"/>
    </row>
    <row r="127" ht="15.75" customHeight="1">
      <c r="A127" s="8" t="s">
        <v>453</v>
      </c>
      <c r="B127" s="8" t="s">
        <v>127</v>
      </c>
      <c r="C127" s="8" t="s">
        <v>128</v>
      </c>
      <c r="D127" s="8" t="s">
        <v>454</v>
      </c>
      <c r="E127" s="8" t="s">
        <v>455</v>
      </c>
      <c r="F127" s="8" t="s">
        <v>36</v>
      </c>
      <c r="G127" s="8"/>
      <c r="H127" s="8"/>
      <c r="I127" s="8"/>
    </row>
    <row r="128" ht="15.75" customHeight="1">
      <c r="A128" s="8" t="s">
        <v>456</v>
      </c>
      <c r="B128" s="8" t="s">
        <v>127</v>
      </c>
      <c r="C128" s="8" t="s">
        <v>128</v>
      </c>
      <c r="D128" s="8" t="s">
        <v>457</v>
      </c>
      <c r="E128" s="8" t="s">
        <v>458</v>
      </c>
      <c r="F128" s="8" t="s">
        <v>36</v>
      </c>
      <c r="G128" s="8"/>
      <c r="H128" s="8"/>
      <c r="I128" s="8"/>
    </row>
    <row r="129" ht="15.75" customHeight="1">
      <c r="A129" s="8" t="s">
        <v>459</v>
      </c>
      <c r="B129" s="8" t="s">
        <v>127</v>
      </c>
      <c r="C129" s="8" t="s">
        <v>128</v>
      </c>
      <c r="D129" s="8" t="s">
        <v>460</v>
      </c>
      <c r="E129" s="8" t="s">
        <v>461</v>
      </c>
      <c r="F129" s="8" t="s">
        <v>36</v>
      </c>
      <c r="G129" s="8"/>
      <c r="H129" s="8"/>
      <c r="I129" s="8"/>
    </row>
    <row r="130" ht="15.75" customHeight="1">
      <c r="A130" s="8" t="s">
        <v>462</v>
      </c>
      <c r="B130" s="8" t="s">
        <v>463</v>
      </c>
      <c r="C130" s="8" t="s">
        <v>24</v>
      </c>
      <c r="D130" s="8" t="s">
        <v>464</v>
      </c>
      <c r="E130" s="8" t="s">
        <v>465</v>
      </c>
      <c r="F130" s="9" t="s">
        <v>12</v>
      </c>
      <c r="G130" s="8"/>
      <c r="H130" s="8"/>
      <c r="I130" s="8"/>
    </row>
    <row r="131" ht="15.75" customHeight="1">
      <c r="A131" s="8" t="s">
        <v>466</v>
      </c>
      <c r="B131" s="8" t="s">
        <v>463</v>
      </c>
      <c r="C131" s="8" t="s">
        <v>24</v>
      </c>
      <c r="D131" s="8" t="s">
        <v>467</v>
      </c>
      <c r="E131" s="8" t="s">
        <v>468</v>
      </c>
      <c r="F131" s="8" t="s">
        <v>36</v>
      </c>
      <c r="G131" s="8"/>
      <c r="H131" s="8"/>
      <c r="I131" s="8"/>
    </row>
    <row r="132" ht="15.75" customHeight="1">
      <c r="A132" s="8" t="s">
        <v>469</v>
      </c>
      <c r="B132" s="8" t="s">
        <v>463</v>
      </c>
      <c r="C132" s="8" t="s">
        <v>24</v>
      </c>
      <c r="D132" s="8" t="s">
        <v>470</v>
      </c>
      <c r="E132" s="8" t="s">
        <v>471</v>
      </c>
      <c r="F132" s="9" t="s">
        <v>22</v>
      </c>
      <c r="G132" s="8"/>
      <c r="H132" s="8"/>
      <c r="I132" s="8"/>
    </row>
    <row r="133" ht="15.75" customHeight="1">
      <c r="A133" s="8" t="s">
        <v>472</v>
      </c>
      <c r="B133" s="8" t="s">
        <v>463</v>
      </c>
      <c r="C133" s="8" t="s">
        <v>24</v>
      </c>
      <c r="D133" s="8" t="s">
        <v>473</v>
      </c>
      <c r="E133" s="8" t="s">
        <v>474</v>
      </c>
      <c r="F133" s="8" t="s">
        <v>36</v>
      </c>
      <c r="G133" s="8"/>
      <c r="H133" s="8"/>
      <c r="I133" s="8"/>
    </row>
    <row r="134" ht="15.75" customHeight="1">
      <c r="A134" s="8" t="s">
        <v>475</v>
      </c>
      <c r="B134" s="8" t="s">
        <v>463</v>
      </c>
      <c r="C134" s="8" t="s">
        <v>24</v>
      </c>
      <c r="D134" s="8" t="s">
        <v>476</v>
      </c>
      <c r="E134" s="8" t="s">
        <v>477</v>
      </c>
      <c r="F134" s="8" t="s">
        <v>36</v>
      </c>
      <c r="G134" s="8"/>
      <c r="H134" s="8"/>
      <c r="I134" s="8"/>
    </row>
    <row r="135" ht="15.75" customHeight="1">
      <c r="A135" s="8" t="s">
        <v>478</v>
      </c>
      <c r="B135" s="8" t="s">
        <v>463</v>
      </c>
      <c r="C135" s="8" t="s">
        <v>24</v>
      </c>
      <c r="D135" s="8" t="s">
        <v>479</v>
      </c>
      <c r="E135" s="8" t="s">
        <v>480</v>
      </c>
      <c r="F135" s="8" t="s">
        <v>36</v>
      </c>
      <c r="G135" s="8"/>
      <c r="H135" s="8"/>
      <c r="I135" s="8"/>
    </row>
    <row r="136" ht="15.75" customHeight="1">
      <c r="A136" s="8" t="s">
        <v>481</v>
      </c>
      <c r="B136" s="8" t="s">
        <v>463</v>
      </c>
      <c r="C136" s="8" t="s">
        <v>128</v>
      </c>
      <c r="D136" s="8" t="s">
        <v>482</v>
      </c>
      <c r="E136" s="8" t="s">
        <v>483</v>
      </c>
      <c r="F136" s="8" t="s">
        <v>36</v>
      </c>
      <c r="G136" s="8"/>
      <c r="H136" s="8"/>
      <c r="I136" s="8"/>
    </row>
    <row r="137" ht="15.75" customHeight="1">
      <c r="A137" s="8" t="s">
        <v>484</v>
      </c>
      <c r="B137" s="8" t="s">
        <v>485</v>
      </c>
      <c r="C137" s="8" t="s">
        <v>24</v>
      </c>
      <c r="D137" s="8" t="s">
        <v>486</v>
      </c>
      <c r="E137" s="8" t="s">
        <v>487</v>
      </c>
      <c r="F137" s="8" t="s">
        <v>36</v>
      </c>
      <c r="G137" s="8"/>
      <c r="H137" s="8"/>
      <c r="I137" s="8"/>
    </row>
    <row r="138" ht="15.75" customHeight="1">
      <c r="A138" s="8" t="s">
        <v>488</v>
      </c>
      <c r="B138" s="8" t="s">
        <v>485</v>
      </c>
      <c r="C138" s="8" t="s">
        <v>24</v>
      </c>
      <c r="D138" s="8" t="s">
        <v>489</v>
      </c>
      <c r="E138" s="8" t="s">
        <v>490</v>
      </c>
      <c r="F138" s="8" t="s">
        <v>36</v>
      </c>
      <c r="G138" s="8"/>
      <c r="H138" s="8"/>
      <c r="I138" s="8"/>
    </row>
    <row r="139" ht="15.75" customHeight="1">
      <c r="A139" s="8" t="s">
        <v>491</v>
      </c>
      <c r="B139" s="8" t="s">
        <v>485</v>
      </c>
      <c r="C139" s="8" t="s">
        <v>24</v>
      </c>
      <c r="D139" s="8" t="s">
        <v>492</v>
      </c>
      <c r="E139" s="8" t="s">
        <v>493</v>
      </c>
      <c r="F139" s="8" t="s">
        <v>36</v>
      </c>
      <c r="G139" s="8"/>
      <c r="H139" s="8"/>
      <c r="I139" s="8"/>
    </row>
    <row r="140" ht="15.75" customHeight="1">
      <c r="A140" s="8" t="s">
        <v>494</v>
      </c>
      <c r="B140" s="8" t="s">
        <v>485</v>
      </c>
      <c r="C140" s="8" t="s">
        <v>24</v>
      </c>
      <c r="D140" s="8" t="s">
        <v>495</v>
      </c>
      <c r="E140" s="8" t="s">
        <v>496</v>
      </c>
      <c r="F140" s="8" t="s">
        <v>36</v>
      </c>
      <c r="G140" s="8"/>
      <c r="H140" s="8"/>
      <c r="I140" s="8"/>
    </row>
    <row r="141" ht="15.75" customHeight="1">
      <c r="A141" s="8" t="s">
        <v>497</v>
      </c>
      <c r="B141" s="8" t="s">
        <v>485</v>
      </c>
      <c r="C141" s="8" t="s">
        <v>24</v>
      </c>
      <c r="D141" s="8" t="s">
        <v>498</v>
      </c>
      <c r="E141" s="8" t="s">
        <v>496</v>
      </c>
      <c r="F141" s="8" t="s">
        <v>36</v>
      </c>
      <c r="G141" s="8"/>
      <c r="H141" s="8"/>
      <c r="I141" s="8"/>
    </row>
    <row r="142" ht="15.75" customHeight="1">
      <c r="A142" s="8" t="s">
        <v>499</v>
      </c>
      <c r="B142" s="8" t="s">
        <v>485</v>
      </c>
      <c r="C142" s="8" t="s">
        <v>24</v>
      </c>
      <c r="D142" s="8" t="s">
        <v>500</v>
      </c>
      <c r="E142" s="8" t="s">
        <v>496</v>
      </c>
      <c r="F142" s="8" t="s">
        <v>36</v>
      </c>
      <c r="G142" s="8"/>
      <c r="H142" s="8"/>
      <c r="I142" s="8"/>
    </row>
    <row r="143" ht="15.75" customHeight="1">
      <c r="A143" s="8" t="s">
        <v>501</v>
      </c>
      <c r="B143" s="8" t="s">
        <v>485</v>
      </c>
      <c r="C143" s="8" t="s">
        <v>24</v>
      </c>
      <c r="D143" s="8" t="s">
        <v>502</v>
      </c>
      <c r="E143" s="8" t="s">
        <v>496</v>
      </c>
      <c r="F143" s="8" t="s">
        <v>36</v>
      </c>
      <c r="G143" s="8"/>
      <c r="H143" s="8"/>
      <c r="I143" s="8"/>
    </row>
    <row r="144" ht="15.75" customHeight="1">
      <c r="A144" s="8" t="s">
        <v>503</v>
      </c>
      <c r="B144" s="8" t="s">
        <v>485</v>
      </c>
      <c r="C144" s="8" t="s">
        <v>24</v>
      </c>
      <c r="D144" s="8" t="s">
        <v>504</v>
      </c>
      <c r="E144" s="8" t="s">
        <v>134</v>
      </c>
      <c r="F144" s="8" t="s">
        <v>36</v>
      </c>
      <c r="G144" s="8"/>
      <c r="H144" s="8"/>
      <c r="I144" s="8"/>
    </row>
    <row r="145" ht="15.75" customHeight="1">
      <c r="A145" s="8" t="s">
        <v>505</v>
      </c>
      <c r="B145" s="8" t="s">
        <v>485</v>
      </c>
      <c r="C145" s="8" t="s">
        <v>24</v>
      </c>
      <c r="D145" s="8" t="s">
        <v>506</v>
      </c>
      <c r="E145" s="8" t="s">
        <v>507</v>
      </c>
      <c r="F145" s="8" t="s">
        <v>36</v>
      </c>
      <c r="G145" s="8"/>
      <c r="H145" s="8"/>
      <c r="I145" s="8"/>
    </row>
    <row r="146" ht="15.75" customHeight="1">
      <c r="A146" s="8" t="s">
        <v>508</v>
      </c>
      <c r="B146" s="8" t="s">
        <v>485</v>
      </c>
      <c r="C146" s="8" t="s">
        <v>128</v>
      </c>
      <c r="D146" s="8" t="s">
        <v>509</v>
      </c>
      <c r="E146" s="8" t="s">
        <v>510</v>
      </c>
      <c r="F146" s="8" t="s">
        <v>36</v>
      </c>
      <c r="G146" s="8"/>
      <c r="H146" s="8"/>
      <c r="I146" s="8"/>
    </row>
    <row r="147" ht="15.75" customHeight="1">
      <c r="A147" s="8" t="s">
        <v>511</v>
      </c>
      <c r="B147" s="8" t="s">
        <v>485</v>
      </c>
      <c r="C147" s="8" t="s">
        <v>128</v>
      </c>
      <c r="D147" s="8" t="s">
        <v>512</v>
      </c>
      <c r="E147" s="8" t="s">
        <v>513</v>
      </c>
      <c r="F147" s="8" t="s">
        <v>36</v>
      </c>
      <c r="G147" s="8"/>
      <c r="H147" s="8"/>
      <c r="I147" s="8"/>
    </row>
    <row r="148" ht="15.75" customHeight="1">
      <c r="A148" s="8" t="s">
        <v>514</v>
      </c>
      <c r="B148" s="8" t="s">
        <v>485</v>
      </c>
      <c r="C148" s="8" t="s">
        <v>128</v>
      </c>
      <c r="D148" s="8" t="s">
        <v>515</v>
      </c>
      <c r="E148" s="8" t="s">
        <v>516</v>
      </c>
      <c r="F148" s="8" t="s">
        <v>36</v>
      </c>
      <c r="G148" s="8"/>
      <c r="H148" s="8"/>
      <c r="I148" s="8"/>
    </row>
    <row r="149" ht="15.75" customHeight="1">
      <c r="A149" s="8" t="s">
        <v>517</v>
      </c>
      <c r="B149" s="8" t="s">
        <v>485</v>
      </c>
      <c r="C149" s="8" t="s">
        <v>231</v>
      </c>
      <c r="D149" s="8" t="s">
        <v>518</v>
      </c>
      <c r="E149" s="8" t="s">
        <v>519</v>
      </c>
      <c r="F149" s="8" t="s">
        <v>36</v>
      </c>
      <c r="G149" s="8"/>
      <c r="H149" s="8"/>
      <c r="I149" s="9" t="s">
        <v>520</v>
      </c>
    </row>
    <row r="150" ht="15.75" customHeight="1">
      <c r="A150" s="8" t="s">
        <v>521</v>
      </c>
      <c r="B150" s="8" t="s">
        <v>485</v>
      </c>
      <c r="C150" s="8" t="s">
        <v>231</v>
      </c>
      <c r="D150" s="8" t="s">
        <v>522</v>
      </c>
      <c r="E150" s="8" t="s">
        <v>523</v>
      </c>
      <c r="F150" s="8" t="s">
        <v>36</v>
      </c>
      <c r="G150" s="8"/>
      <c r="H150" s="8"/>
      <c r="I150" s="8"/>
    </row>
    <row r="151" ht="15.75" customHeight="1">
      <c r="A151" s="8" t="s">
        <v>524</v>
      </c>
      <c r="B151" s="8" t="s">
        <v>525</v>
      </c>
      <c r="C151" s="8" t="s">
        <v>24</v>
      </c>
      <c r="D151" s="8" t="s">
        <v>526</v>
      </c>
      <c r="E151" s="8" t="s">
        <v>527</v>
      </c>
      <c r="F151" s="8" t="s">
        <v>36</v>
      </c>
      <c r="G151" s="8"/>
      <c r="H151" s="8"/>
      <c r="I151" s="8"/>
    </row>
    <row r="152" ht="15.75" customHeight="1">
      <c r="A152" s="8" t="s">
        <v>528</v>
      </c>
      <c r="B152" s="8" t="s">
        <v>525</v>
      </c>
      <c r="C152" s="8" t="s">
        <v>24</v>
      </c>
      <c r="D152" s="8" t="s">
        <v>529</v>
      </c>
      <c r="E152" s="8" t="s">
        <v>117</v>
      </c>
      <c r="F152" s="8" t="s">
        <v>36</v>
      </c>
      <c r="G152" s="8"/>
      <c r="H152" s="8"/>
      <c r="I152" s="8"/>
    </row>
    <row r="153" ht="15.75" customHeight="1">
      <c r="A153" s="8" t="s">
        <v>530</v>
      </c>
      <c r="B153" s="8" t="s">
        <v>525</v>
      </c>
      <c r="C153" s="8" t="s">
        <v>24</v>
      </c>
      <c r="D153" s="8" t="s">
        <v>531</v>
      </c>
      <c r="E153" s="8" t="s">
        <v>532</v>
      </c>
      <c r="F153" s="8" t="s">
        <v>36</v>
      </c>
      <c r="G153" s="8"/>
      <c r="H153" s="8"/>
      <c r="I153" s="8"/>
    </row>
    <row r="154" ht="15.75" customHeight="1">
      <c r="A154" s="8" t="s">
        <v>533</v>
      </c>
      <c r="B154" s="8" t="s">
        <v>525</v>
      </c>
      <c r="C154" s="8" t="s">
        <v>128</v>
      </c>
      <c r="D154" s="8" t="s">
        <v>534</v>
      </c>
      <c r="E154" s="8" t="s">
        <v>535</v>
      </c>
      <c r="F154" s="8" t="s">
        <v>36</v>
      </c>
      <c r="G154" s="8"/>
      <c r="H154" s="8"/>
      <c r="I154" s="8"/>
    </row>
    <row r="155" ht="15.75" customHeight="1">
      <c r="A155" s="8" t="s">
        <v>536</v>
      </c>
      <c r="B155" s="8" t="s">
        <v>525</v>
      </c>
      <c r="C155" s="8" t="s">
        <v>24</v>
      </c>
      <c r="D155" s="8" t="s">
        <v>537</v>
      </c>
      <c r="E155" s="8" t="s">
        <v>28</v>
      </c>
      <c r="F155" s="8" t="s">
        <v>36</v>
      </c>
      <c r="G155" s="8"/>
      <c r="H155" s="8"/>
      <c r="I155" s="8"/>
    </row>
    <row r="156" ht="15.75" customHeight="1">
      <c r="A156" s="8" t="s">
        <v>538</v>
      </c>
      <c r="B156" s="8" t="s">
        <v>525</v>
      </c>
      <c r="C156" s="8" t="s">
        <v>24</v>
      </c>
      <c r="D156" s="8" t="s">
        <v>539</v>
      </c>
      <c r="E156" s="8" t="s">
        <v>540</v>
      </c>
      <c r="F156" s="8" t="s">
        <v>36</v>
      </c>
      <c r="G156" s="8"/>
      <c r="H156" s="8"/>
      <c r="I156" s="8"/>
    </row>
    <row r="157" ht="15.75" customHeight="1">
      <c r="A157" s="8" t="s">
        <v>541</v>
      </c>
      <c r="B157" s="8" t="s">
        <v>525</v>
      </c>
      <c r="C157" s="8" t="s">
        <v>24</v>
      </c>
      <c r="D157" s="8" t="s">
        <v>542</v>
      </c>
      <c r="E157" s="8" t="s">
        <v>543</v>
      </c>
      <c r="F157" s="8" t="s">
        <v>36</v>
      </c>
      <c r="G157" s="8"/>
      <c r="H157" s="8"/>
      <c r="I157" s="8"/>
    </row>
    <row r="158" ht="15.75" customHeight="1">
      <c r="A158" s="8" t="s">
        <v>544</v>
      </c>
      <c r="B158" s="8" t="s">
        <v>525</v>
      </c>
      <c r="C158" s="8" t="s">
        <v>24</v>
      </c>
      <c r="D158" s="8" t="s">
        <v>545</v>
      </c>
      <c r="E158" s="8" t="s">
        <v>28</v>
      </c>
      <c r="F158" s="8" t="s">
        <v>36</v>
      </c>
      <c r="G158" s="8"/>
      <c r="H158" s="8"/>
      <c r="I158" s="8"/>
    </row>
    <row r="159" ht="15.75" customHeight="1">
      <c r="A159" s="8" t="s">
        <v>546</v>
      </c>
      <c r="B159" s="8" t="s">
        <v>525</v>
      </c>
      <c r="C159" s="8" t="s">
        <v>24</v>
      </c>
      <c r="D159" s="8" t="s">
        <v>547</v>
      </c>
      <c r="E159" s="8" t="s">
        <v>548</v>
      </c>
      <c r="F159" s="8" t="s">
        <v>36</v>
      </c>
      <c r="G159" s="8"/>
      <c r="H159" s="8"/>
      <c r="I159" s="8"/>
    </row>
    <row r="160" ht="15.75" customHeight="1">
      <c r="A160" s="8" t="s">
        <v>549</v>
      </c>
      <c r="B160" s="8" t="s">
        <v>132</v>
      </c>
      <c r="C160" s="8" t="s">
        <v>24</v>
      </c>
      <c r="D160" s="8" t="s">
        <v>550</v>
      </c>
      <c r="E160" s="8" t="s">
        <v>551</v>
      </c>
      <c r="F160" s="8" t="s">
        <v>36</v>
      </c>
      <c r="G160" s="8"/>
      <c r="H160" s="8"/>
      <c r="I160" s="8"/>
    </row>
    <row r="161" ht="15.75" customHeight="1">
      <c r="A161" s="8" t="s">
        <v>552</v>
      </c>
      <c r="B161" s="8" t="s">
        <v>132</v>
      </c>
      <c r="C161" s="8" t="s">
        <v>24</v>
      </c>
      <c r="D161" s="8" t="s">
        <v>553</v>
      </c>
      <c r="E161" s="8" t="s">
        <v>554</v>
      </c>
      <c r="F161" s="8" t="s">
        <v>36</v>
      </c>
      <c r="G161" s="8"/>
      <c r="H161" s="8"/>
      <c r="I161" s="8"/>
    </row>
    <row r="162" ht="15.75" customHeight="1">
      <c r="A162" s="8" t="s">
        <v>555</v>
      </c>
      <c r="B162" s="8" t="s">
        <v>132</v>
      </c>
      <c r="C162" s="8" t="s">
        <v>24</v>
      </c>
      <c r="D162" s="8" t="s">
        <v>556</v>
      </c>
      <c r="E162" s="8" t="s">
        <v>557</v>
      </c>
      <c r="F162" s="8" t="s">
        <v>36</v>
      </c>
      <c r="G162" s="8"/>
      <c r="H162" s="8"/>
      <c r="I162" s="8"/>
    </row>
    <row r="163" ht="15.75" customHeight="1">
      <c r="A163" s="8" t="s">
        <v>558</v>
      </c>
      <c r="B163" s="8" t="s">
        <v>132</v>
      </c>
      <c r="C163" s="8" t="s">
        <v>24</v>
      </c>
      <c r="D163" s="8" t="s">
        <v>559</v>
      </c>
      <c r="E163" s="8" t="s">
        <v>560</v>
      </c>
      <c r="F163" s="8" t="s">
        <v>36</v>
      </c>
      <c r="G163" s="8"/>
      <c r="H163" s="8"/>
      <c r="I163" s="8"/>
    </row>
    <row r="164" ht="15.75" customHeight="1">
      <c r="A164" s="8" t="s">
        <v>561</v>
      </c>
      <c r="B164" s="8" t="s">
        <v>132</v>
      </c>
      <c r="C164" s="8" t="s">
        <v>24</v>
      </c>
      <c r="D164" s="8" t="s">
        <v>562</v>
      </c>
      <c r="E164" s="8" t="s">
        <v>563</v>
      </c>
      <c r="F164" s="8" t="s">
        <v>36</v>
      </c>
      <c r="G164" s="8"/>
      <c r="H164" s="8"/>
      <c r="I164" s="8"/>
    </row>
    <row r="165" ht="15.75" customHeight="1">
      <c r="A165" s="8" t="s">
        <v>564</v>
      </c>
      <c r="B165" s="8" t="s">
        <v>132</v>
      </c>
      <c r="C165" s="8" t="s">
        <v>24</v>
      </c>
      <c r="D165" s="8" t="s">
        <v>565</v>
      </c>
      <c r="E165" s="8" t="s">
        <v>124</v>
      </c>
      <c r="F165" s="8" t="s">
        <v>36</v>
      </c>
      <c r="G165" s="8"/>
      <c r="H165" s="8"/>
      <c r="I165" s="8"/>
    </row>
    <row r="166" ht="15.75" customHeight="1">
      <c r="A166" s="8" t="s">
        <v>566</v>
      </c>
      <c r="B166" s="8" t="s">
        <v>132</v>
      </c>
      <c r="C166" s="8" t="s">
        <v>24</v>
      </c>
      <c r="D166" s="8" t="s">
        <v>567</v>
      </c>
      <c r="E166" s="8" t="s">
        <v>120</v>
      </c>
      <c r="F166" s="8" t="s">
        <v>36</v>
      </c>
      <c r="G166" s="8"/>
      <c r="H166" s="8"/>
      <c r="I166" s="8"/>
    </row>
    <row r="167" ht="15.75" customHeight="1">
      <c r="A167" s="8" t="s">
        <v>568</v>
      </c>
      <c r="B167" s="8" t="s">
        <v>132</v>
      </c>
      <c r="C167" s="8" t="s">
        <v>128</v>
      </c>
      <c r="D167" s="8" t="s">
        <v>569</v>
      </c>
      <c r="E167" s="8" t="s">
        <v>570</v>
      </c>
      <c r="F167" s="8" t="s">
        <v>36</v>
      </c>
      <c r="G167" s="8"/>
      <c r="H167" s="8"/>
      <c r="I167" s="8"/>
    </row>
    <row r="168" ht="15.75" customHeight="1">
      <c r="A168" s="8" t="s">
        <v>571</v>
      </c>
      <c r="B168" s="8" t="s">
        <v>132</v>
      </c>
      <c r="C168" s="8" t="s">
        <v>128</v>
      </c>
      <c r="D168" s="8" t="s">
        <v>572</v>
      </c>
      <c r="E168" s="8" t="s">
        <v>573</v>
      </c>
      <c r="F168" s="8" t="s">
        <v>36</v>
      </c>
      <c r="G168" s="8"/>
      <c r="H168" s="8"/>
      <c r="I168" s="8"/>
    </row>
    <row r="169" ht="15.75" customHeight="1">
      <c r="A169" s="8" t="s">
        <v>574</v>
      </c>
      <c r="B169" s="8" t="s">
        <v>132</v>
      </c>
      <c r="C169" s="8" t="s">
        <v>231</v>
      </c>
      <c r="D169" s="8" t="s">
        <v>575</v>
      </c>
      <c r="E169" s="8" t="s">
        <v>576</v>
      </c>
      <c r="F169" s="8" t="s">
        <v>36</v>
      </c>
      <c r="G169" s="8"/>
      <c r="H169" s="8"/>
      <c r="I169" s="8"/>
    </row>
    <row r="170" ht="15.75" customHeight="1">
      <c r="A170" s="8" t="s">
        <v>577</v>
      </c>
      <c r="B170" s="8" t="s">
        <v>197</v>
      </c>
      <c r="C170" s="8" t="s">
        <v>128</v>
      </c>
      <c r="D170" s="8" t="s">
        <v>578</v>
      </c>
      <c r="E170" s="8" t="s">
        <v>579</v>
      </c>
      <c r="F170" s="8" t="s">
        <v>36</v>
      </c>
      <c r="G170" s="8"/>
      <c r="H170" s="8"/>
      <c r="I170" s="8"/>
    </row>
    <row r="171" ht="15.75" customHeight="1">
      <c r="A171" s="8" t="s">
        <v>580</v>
      </c>
      <c r="B171" s="8" t="s">
        <v>197</v>
      </c>
      <c r="C171" s="8" t="s">
        <v>24</v>
      </c>
      <c r="D171" s="8" t="s">
        <v>581</v>
      </c>
      <c r="E171" s="8" t="s">
        <v>582</v>
      </c>
      <c r="F171" s="8" t="s">
        <v>36</v>
      </c>
      <c r="G171" s="8"/>
      <c r="H171" s="8"/>
      <c r="I171" s="8"/>
    </row>
    <row r="172" ht="15.75" customHeight="1">
      <c r="A172" s="8" t="s">
        <v>583</v>
      </c>
      <c r="B172" s="8" t="s">
        <v>197</v>
      </c>
      <c r="C172" s="8" t="s">
        <v>128</v>
      </c>
      <c r="D172" s="8" t="s">
        <v>584</v>
      </c>
      <c r="E172" s="8" t="s">
        <v>585</v>
      </c>
      <c r="F172" s="8" t="s">
        <v>36</v>
      </c>
      <c r="G172" s="8"/>
      <c r="H172" s="8"/>
      <c r="I172" s="8"/>
    </row>
    <row r="173" ht="15.75" customHeight="1">
      <c r="A173" s="8" t="s">
        <v>586</v>
      </c>
      <c r="B173" s="8" t="s">
        <v>197</v>
      </c>
      <c r="C173" s="8" t="s">
        <v>128</v>
      </c>
      <c r="D173" s="8" t="s">
        <v>587</v>
      </c>
      <c r="E173" s="8" t="s">
        <v>588</v>
      </c>
      <c r="F173" s="8" t="s">
        <v>36</v>
      </c>
      <c r="G173" s="8"/>
      <c r="H173" s="8"/>
      <c r="I173" s="8"/>
    </row>
    <row r="174" ht="15.75" customHeight="1">
      <c r="A174" s="8" t="s">
        <v>589</v>
      </c>
      <c r="B174" s="8" t="s">
        <v>197</v>
      </c>
      <c r="C174" s="8" t="s">
        <v>24</v>
      </c>
      <c r="D174" s="8" t="s">
        <v>590</v>
      </c>
      <c r="E174" s="8" t="s">
        <v>591</v>
      </c>
      <c r="F174" s="8" t="s">
        <v>36</v>
      </c>
      <c r="G174" s="8"/>
      <c r="H174" s="8"/>
      <c r="I174" s="8"/>
    </row>
    <row r="175" ht="15.75" customHeight="1">
      <c r="A175" s="8" t="s">
        <v>592</v>
      </c>
      <c r="B175" s="8" t="s">
        <v>197</v>
      </c>
      <c r="C175" s="8" t="s">
        <v>24</v>
      </c>
      <c r="D175" s="8" t="s">
        <v>593</v>
      </c>
      <c r="E175" s="8" t="s">
        <v>594</v>
      </c>
      <c r="F175" s="8" t="s">
        <v>36</v>
      </c>
      <c r="G175" s="8"/>
      <c r="H175" s="8"/>
      <c r="I175" s="8"/>
    </row>
    <row r="176" ht="15.75" customHeight="1">
      <c r="A176" s="8" t="s">
        <v>595</v>
      </c>
      <c r="B176" s="8" t="s">
        <v>136</v>
      </c>
      <c r="C176" s="8" t="s">
        <v>128</v>
      </c>
      <c r="D176" s="8" t="s">
        <v>596</v>
      </c>
      <c r="E176" s="8" t="s">
        <v>576</v>
      </c>
      <c r="F176" s="8" t="s">
        <v>36</v>
      </c>
      <c r="G176" s="8"/>
      <c r="H176" s="8"/>
      <c r="I176" s="8"/>
    </row>
    <row r="177" ht="15.75" customHeight="1">
      <c r="A177" s="8" t="s">
        <v>597</v>
      </c>
      <c r="B177" s="8" t="s">
        <v>136</v>
      </c>
      <c r="C177" s="8" t="s">
        <v>24</v>
      </c>
      <c r="D177" s="8" t="s">
        <v>598</v>
      </c>
      <c r="E177" s="8" t="s">
        <v>138</v>
      </c>
      <c r="F177" s="9" t="s">
        <v>22</v>
      </c>
      <c r="G177" s="8"/>
      <c r="H177" s="8"/>
      <c r="I177" s="8"/>
    </row>
    <row r="178" ht="15.75" customHeight="1">
      <c r="A178" s="8" t="s">
        <v>599</v>
      </c>
      <c r="B178" s="8" t="s">
        <v>136</v>
      </c>
      <c r="C178" s="8" t="s">
        <v>128</v>
      </c>
      <c r="D178" s="8" t="s">
        <v>600</v>
      </c>
      <c r="E178" s="8" t="s">
        <v>601</v>
      </c>
      <c r="F178" s="8" t="s">
        <v>36</v>
      </c>
      <c r="G178" s="8"/>
      <c r="H178" s="8"/>
      <c r="I178" s="8"/>
    </row>
    <row r="179" ht="15.75" customHeight="1">
      <c r="A179" s="8" t="s">
        <v>602</v>
      </c>
      <c r="B179" s="8" t="s">
        <v>253</v>
      </c>
      <c r="C179" s="8" t="s">
        <v>128</v>
      </c>
      <c r="D179" s="8" t="s">
        <v>603</v>
      </c>
      <c r="E179" s="8" t="s">
        <v>604</v>
      </c>
      <c r="F179" s="8" t="s">
        <v>36</v>
      </c>
      <c r="G179" s="8"/>
      <c r="H179" s="8"/>
      <c r="I179" s="8"/>
    </row>
    <row r="180" ht="15.75" customHeight="1">
      <c r="A180" s="8" t="s">
        <v>605</v>
      </c>
      <c r="B180" s="8" t="s">
        <v>606</v>
      </c>
      <c r="C180" s="8" t="s">
        <v>128</v>
      </c>
      <c r="D180" s="8" t="s">
        <v>607</v>
      </c>
      <c r="E180" s="8" t="s">
        <v>608</v>
      </c>
      <c r="F180" s="8" t="s">
        <v>36</v>
      </c>
      <c r="G180" s="8"/>
      <c r="H180" s="8"/>
      <c r="I180" s="8"/>
    </row>
    <row r="181" ht="15.75" customHeight="1">
      <c r="A181" s="8" t="s">
        <v>609</v>
      </c>
      <c r="B181" s="8" t="s">
        <v>606</v>
      </c>
      <c r="C181" s="8" t="s">
        <v>128</v>
      </c>
      <c r="D181" s="8" t="s">
        <v>610</v>
      </c>
      <c r="E181" s="8" t="s">
        <v>611</v>
      </c>
      <c r="F181" s="8" t="s">
        <v>36</v>
      </c>
      <c r="G181" s="8"/>
      <c r="H181" s="8"/>
      <c r="I181" s="8"/>
    </row>
    <row r="182" ht="15.75" customHeight="1">
      <c r="A182" s="8" t="s">
        <v>612</v>
      </c>
      <c r="B182" s="8" t="s">
        <v>606</v>
      </c>
      <c r="C182" s="8" t="s">
        <v>128</v>
      </c>
      <c r="D182" s="8" t="s">
        <v>613</v>
      </c>
      <c r="E182" s="8" t="s">
        <v>614</v>
      </c>
      <c r="F182" s="8" t="s">
        <v>36</v>
      </c>
      <c r="G182" s="8"/>
      <c r="H182" s="8"/>
      <c r="I182" s="8"/>
    </row>
    <row r="183" ht="15.75" customHeight="1">
      <c r="A183" s="8" t="s">
        <v>615</v>
      </c>
      <c r="B183" s="8" t="s">
        <v>193</v>
      </c>
      <c r="C183" s="8" t="s">
        <v>24</v>
      </c>
      <c r="D183" s="8" t="s">
        <v>616</v>
      </c>
      <c r="E183" s="8" t="s">
        <v>617</v>
      </c>
      <c r="F183" s="8" t="s">
        <v>36</v>
      </c>
      <c r="G183" s="8"/>
      <c r="H183" s="8"/>
      <c r="I183" s="8"/>
    </row>
    <row r="184" ht="15.75" customHeight="1">
      <c r="A184" s="8" t="s">
        <v>618</v>
      </c>
      <c r="B184" s="8" t="s">
        <v>193</v>
      </c>
      <c r="C184" s="8" t="s">
        <v>128</v>
      </c>
      <c r="D184" s="8" t="s">
        <v>619</v>
      </c>
      <c r="E184" s="8" t="s">
        <v>620</v>
      </c>
      <c r="F184" s="8" t="s">
        <v>36</v>
      </c>
      <c r="G184" s="8"/>
      <c r="H184" s="8"/>
      <c r="I184" s="8"/>
    </row>
    <row r="185" ht="15.75" customHeight="1">
      <c r="A185" s="8" t="s">
        <v>621</v>
      </c>
      <c r="B185" s="8" t="s">
        <v>193</v>
      </c>
      <c r="C185" s="8" t="s">
        <v>128</v>
      </c>
      <c r="D185" s="8" t="s">
        <v>622</v>
      </c>
      <c r="E185" s="8" t="s">
        <v>623</v>
      </c>
      <c r="F185" s="8" t="s">
        <v>36</v>
      </c>
      <c r="G185" s="8"/>
      <c r="H185" s="8"/>
      <c r="I185" s="8"/>
    </row>
    <row r="186" ht="15.75" customHeight="1">
      <c r="A186" s="8" t="s">
        <v>624</v>
      </c>
      <c r="B186" s="8" t="s">
        <v>193</v>
      </c>
      <c r="C186" s="8" t="s">
        <v>128</v>
      </c>
      <c r="D186" s="8" t="s">
        <v>625</v>
      </c>
      <c r="E186" s="8" t="s">
        <v>626</v>
      </c>
      <c r="F186" s="8" t="s">
        <v>36</v>
      </c>
      <c r="G186" s="8"/>
      <c r="H186" s="8"/>
      <c r="I186" s="8"/>
    </row>
    <row r="187" ht="15.75" customHeight="1">
      <c r="A187" s="8" t="s">
        <v>627</v>
      </c>
      <c r="B187" s="8" t="s">
        <v>140</v>
      </c>
      <c r="C187" s="8" t="s">
        <v>24</v>
      </c>
      <c r="D187" s="8" t="s">
        <v>628</v>
      </c>
      <c r="E187" s="8" t="s">
        <v>134</v>
      </c>
      <c r="F187" s="8" t="s">
        <v>36</v>
      </c>
      <c r="G187" s="8"/>
      <c r="H187" s="8"/>
      <c r="I187" s="8"/>
    </row>
    <row r="188" ht="15.75" customHeight="1">
      <c r="A188" s="8" t="s">
        <v>629</v>
      </c>
      <c r="B188" s="8" t="s">
        <v>140</v>
      </c>
      <c r="C188" s="8" t="s">
        <v>128</v>
      </c>
      <c r="D188" s="8" t="s">
        <v>630</v>
      </c>
      <c r="E188" s="8" t="s">
        <v>631</v>
      </c>
      <c r="F188" s="8" t="s">
        <v>36</v>
      </c>
      <c r="G188" s="8"/>
      <c r="H188" s="8"/>
      <c r="I188" s="8"/>
    </row>
    <row r="189" ht="15.75" customHeight="1">
      <c r="A189" s="8" t="s">
        <v>632</v>
      </c>
      <c r="B189" s="8" t="s">
        <v>140</v>
      </c>
      <c r="C189" s="8" t="s">
        <v>128</v>
      </c>
      <c r="D189" s="8" t="s">
        <v>633</v>
      </c>
      <c r="E189" s="8" t="s">
        <v>634</v>
      </c>
      <c r="F189" s="8" t="s">
        <v>36</v>
      </c>
      <c r="G189" s="8"/>
      <c r="H189" s="8"/>
      <c r="I189" s="8"/>
    </row>
    <row r="190" ht="15.75" customHeight="1">
      <c r="A190" s="8" t="s">
        <v>635</v>
      </c>
      <c r="B190" s="8" t="s">
        <v>140</v>
      </c>
      <c r="C190" s="8" t="s">
        <v>128</v>
      </c>
      <c r="D190" s="8" t="s">
        <v>636</v>
      </c>
      <c r="E190" s="8" t="s">
        <v>637</v>
      </c>
      <c r="F190" s="8" t="s">
        <v>36</v>
      </c>
      <c r="G190" s="8"/>
      <c r="H190" s="8"/>
      <c r="I190" s="8"/>
    </row>
    <row r="191" ht="15.75" customHeight="1">
      <c r="A191" s="8" t="s">
        <v>638</v>
      </c>
      <c r="B191" s="8" t="s">
        <v>156</v>
      </c>
      <c r="C191" s="8" t="s">
        <v>128</v>
      </c>
      <c r="D191" s="8" t="s">
        <v>639</v>
      </c>
      <c r="E191" s="8" t="s">
        <v>640</v>
      </c>
      <c r="F191" s="8" t="s">
        <v>36</v>
      </c>
      <c r="G191" s="8"/>
      <c r="H191" s="8"/>
      <c r="I191" s="8"/>
    </row>
    <row r="192" ht="15.75" customHeight="1">
      <c r="A192" s="8" t="s">
        <v>641</v>
      </c>
      <c r="B192" s="8" t="s">
        <v>156</v>
      </c>
      <c r="C192" s="8" t="s">
        <v>128</v>
      </c>
      <c r="D192" s="8" t="s">
        <v>642</v>
      </c>
      <c r="E192" s="8" t="s">
        <v>643</v>
      </c>
      <c r="F192" s="8" t="s">
        <v>36</v>
      </c>
      <c r="G192" s="8"/>
      <c r="H192" s="8"/>
      <c r="I192" s="8"/>
    </row>
    <row r="193" ht="15.75" customHeight="1">
      <c r="A193" s="8" t="s">
        <v>644</v>
      </c>
      <c r="B193" s="8" t="s">
        <v>163</v>
      </c>
      <c r="C193" s="8" t="s">
        <v>128</v>
      </c>
      <c r="D193" s="8" t="s">
        <v>645</v>
      </c>
      <c r="E193" s="8" t="s">
        <v>646</v>
      </c>
      <c r="F193" s="8" t="s">
        <v>36</v>
      </c>
      <c r="G193" s="8"/>
      <c r="H193" s="8"/>
      <c r="I193" s="8"/>
    </row>
    <row r="194" ht="15.75" customHeight="1">
      <c r="A194" s="8" t="s">
        <v>647</v>
      </c>
      <c r="B194" s="8" t="s">
        <v>163</v>
      </c>
      <c r="C194" s="8" t="s">
        <v>128</v>
      </c>
      <c r="D194" s="8" t="s">
        <v>648</v>
      </c>
      <c r="E194" s="8" t="s">
        <v>649</v>
      </c>
      <c r="F194" s="8" t="s">
        <v>36</v>
      </c>
      <c r="G194" s="8"/>
      <c r="H194" s="8"/>
      <c r="I194" s="8"/>
    </row>
    <row r="195" ht="15.75" customHeight="1">
      <c r="A195" s="8" t="s">
        <v>650</v>
      </c>
      <c r="B195" s="8" t="s">
        <v>163</v>
      </c>
      <c r="C195" s="8" t="s">
        <v>128</v>
      </c>
      <c r="D195" s="8" t="s">
        <v>651</v>
      </c>
      <c r="E195" s="8" t="s">
        <v>652</v>
      </c>
      <c r="F195" s="8" t="s">
        <v>36</v>
      </c>
      <c r="G195" s="8"/>
      <c r="H195" s="8"/>
      <c r="I195" s="8"/>
    </row>
    <row r="196" ht="15.75" customHeight="1">
      <c r="A196" s="8" t="s">
        <v>653</v>
      </c>
      <c r="B196" s="8" t="s">
        <v>163</v>
      </c>
      <c r="C196" s="8" t="s">
        <v>24</v>
      </c>
      <c r="D196" s="8" t="s">
        <v>654</v>
      </c>
      <c r="E196" s="8" t="s">
        <v>655</v>
      </c>
      <c r="F196" s="8" t="s">
        <v>36</v>
      </c>
      <c r="G196" s="8"/>
      <c r="H196" s="8"/>
      <c r="I196" s="8"/>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96">
    <sortState ref="A1:I196">
      <sortCondition ref="H1:H196"/>
    </sortState>
  </autoFilter>
  <conditionalFormatting sqref="F2:F196">
    <cfRule type="cellIs" dxfId="0" priority="1" operator="equal">
      <formula>"Pass"</formula>
    </cfRule>
  </conditionalFormatting>
  <conditionalFormatting sqref="F2:F196">
    <cfRule type="cellIs" dxfId="1" priority="2" operator="equal">
      <formula>"Fail"</formula>
    </cfRule>
  </conditionalFormatting>
  <conditionalFormatting sqref="F2:F196">
    <cfRule type="cellIs" dxfId="2" priority="3" operator="equal">
      <formula>"Blocked"</formula>
    </cfRule>
  </conditionalFormatting>
  <conditionalFormatting sqref="C2:C196">
    <cfRule type="cellIs" dxfId="3" priority="4" operator="equal">
      <formula>"P0"</formula>
    </cfRule>
  </conditionalFormatting>
  <dataValidations>
    <dataValidation type="list" allowBlank="1" sqref="F2:F196">
      <formula1>"Not started,Pass,Fail,Blocked"</formula1>
    </dataValidation>
    <dataValidation type="list" allowBlank="1" sqref="C2:C196">
      <formula1>"P0,P1,P2"</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2026-10-05T11:31:46Z</dcterms:created>
  <dc:creator>openpyxl</dc:creator>
</cp:coreProperties>
</file>

<file path=docProps/custom.xml><?xml version="1.0" encoding="utf-8"?>
<Properties xmlns="http://schemas.openxmlformats.org/officeDocument/2006/custom-properties" xmlns:vt="http://schemas.openxmlformats.org/officeDocument/2006/docPropsVTypes"/>
</file>